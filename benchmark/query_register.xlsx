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RAGBOT\ara_cowork_project\ara\data\"/>
    </mc:Choice>
  </mc:AlternateContent>
  <xr:revisionPtr revIDLastSave="0" documentId="13_ncr:1_{F55E7A5A-9264-4BEB-B5C1-A84D4820BE9D}" xr6:coauthVersionLast="47" xr6:coauthVersionMax="47" xr10:uidLastSave="{00000000-0000-0000-0000-000000000000}"/>
  <bookViews>
    <workbookView xWindow="-120" yWindow="-120" windowWidth="20730" windowHeight="11160" tabRatio="500" xr2:uid="{00000000-000D-0000-FFFF-FFFF00000000}"/>
  </bookViews>
  <sheets>
    <sheet name="Overview" sheetId="1" r:id="rId1"/>
    <sheet name="Model" sheetId="2" r:id="rId2"/>
    <sheet name="Benchmark_30" sheetId="3" r:id="rId3"/>
    <sheet name="Routing_Accuracy" sheetId="4" r:id="rId4"/>
    <sheet name="Clause_Coverage"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5" l="1"/>
  <c r="B7" i="4"/>
  <c r="B6" i="4"/>
  <c r="B5" i="4"/>
  <c r="B8" i="4" s="1"/>
  <c r="P34" i="3"/>
  <c r="L34" i="3"/>
  <c r="M34" i="3" s="1"/>
  <c r="P33" i="3"/>
  <c r="L33" i="3"/>
  <c r="M33" i="3" s="1"/>
  <c r="P32" i="3"/>
  <c r="L32" i="3"/>
  <c r="M32" i="3" s="1"/>
  <c r="P31" i="3"/>
  <c r="L31" i="3"/>
  <c r="M31" i="3" s="1"/>
  <c r="P30" i="3"/>
  <c r="L30" i="3"/>
  <c r="M30" i="3" s="1"/>
  <c r="P29" i="3"/>
  <c r="L29" i="3"/>
  <c r="M29" i="3" s="1"/>
  <c r="P28" i="3"/>
  <c r="L28" i="3"/>
  <c r="M28" i="3" s="1"/>
  <c r="P27" i="3"/>
  <c r="L27" i="3"/>
  <c r="M27" i="3" s="1"/>
  <c r="P26" i="3"/>
  <c r="L26" i="3"/>
  <c r="M26" i="3" s="1"/>
  <c r="P25" i="3"/>
  <c r="C7" i="4" s="1"/>
  <c r="D7" i="4" s="1"/>
  <c r="L25" i="3"/>
  <c r="M25" i="3" s="1"/>
  <c r="P24" i="3"/>
  <c r="L24" i="3"/>
  <c r="M24" i="3" s="1"/>
  <c r="P23" i="3"/>
  <c r="L23" i="3"/>
  <c r="M23" i="3" s="1"/>
  <c r="P22" i="3"/>
  <c r="L22" i="3"/>
  <c r="M22" i="3" s="1"/>
  <c r="P21" i="3"/>
  <c r="L21" i="3"/>
  <c r="M21" i="3" s="1"/>
  <c r="P20" i="3"/>
  <c r="L20" i="3"/>
  <c r="M20" i="3" s="1"/>
  <c r="P19" i="3"/>
  <c r="L19" i="3"/>
  <c r="M19" i="3" s="1"/>
  <c r="P18" i="3"/>
  <c r="L18" i="3"/>
  <c r="M18" i="3" s="1"/>
  <c r="P17" i="3"/>
  <c r="L17" i="3"/>
  <c r="M17" i="3" s="1"/>
  <c r="P16" i="3"/>
  <c r="L16" i="3"/>
  <c r="M16" i="3" s="1"/>
  <c r="P15" i="3"/>
  <c r="C6" i="4" s="1"/>
  <c r="D6" i="4" s="1"/>
  <c r="L15" i="3"/>
  <c r="M15" i="3" s="1"/>
  <c r="P14" i="3"/>
  <c r="L14" i="3"/>
  <c r="M14" i="3" s="1"/>
  <c r="P13" i="3"/>
  <c r="L13" i="3"/>
  <c r="M13" i="3" s="1"/>
  <c r="P12" i="3"/>
  <c r="L12" i="3"/>
  <c r="M12" i="3" s="1"/>
  <c r="P11" i="3"/>
  <c r="L11" i="3"/>
  <c r="M11" i="3" s="1"/>
  <c r="P10" i="3"/>
  <c r="L10" i="3"/>
  <c r="M10" i="3" s="1"/>
  <c r="P9" i="3"/>
  <c r="L9" i="3"/>
  <c r="M9" i="3" s="1"/>
  <c r="P8" i="3"/>
  <c r="L8" i="3"/>
  <c r="M8" i="3" s="1"/>
  <c r="P7" i="3"/>
  <c r="L7" i="3"/>
  <c r="M7" i="3" s="1"/>
  <c r="P6" i="3"/>
  <c r="L6" i="3"/>
  <c r="M6" i="3" s="1"/>
  <c r="P5" i="3"/>
  <c r="C5" i="4" s="1"/>
  <c r="L5" i="3"/>
  <c r="M5" i="3" s="1"/>
  <c r="B12" i="2"/>
  <c r="B11" i="2"/>
  <c r="N34" i="3" s="1"/>
  <c r="D5" i="4" l="1"/>
  <c r="C8" i="4"/>
  <c r="D8" i="4" s="1"/>
  <c r="N6" i="3"/>
  <c r="N8" i="3"/>
  <c r="N10" i="3"/>
  <c r="N12" i="3"/>
  <c r="N14" i="3"/>
  <c r="N18" i="3"/>
  <c r="N33" i="3"/>
  <c r="N5" i="3"/>
  <c r="N7" i="3"/>
  <c r="N9" i="3"/>
  <c r="N11" i="3"/>
  <c r="N13" i="3"/>
  <c r="N15" i="3"/>
  <c r="N16" i="3"/>
  <c r="N17" i="3"/>
  <c r="N19" i="3"/>
  <c r="N20" i="3"/>
  <c r="N21" i="3"/>
  <c r="N22" i="3"/>
  <c r="N23" i="3"/>
  <c r="N24" i="3"/>
  <c r="N25" i="3"/>
  <c r="N26" i="3"/>
  <c r="N27" i="3"/>
  <c r="N28" i="3"/>
  <c r="N29" i="3"/>
  <c r="N30" i="3"/>
  <c r="N31" i="3"/>
  <c r="N32" i="3"/>
</calcChain>
</file>

<file path=xl/sharedStrings.xml><?xml version="1.0" encoding="utf-8"?>
<sst xmlns="http://schemas.openxmlformats.org/spreadsheetml/2006/main" count="325" uniqueCount="199">
  <si>
    <t>Construction Contract Query Benchmark — 30 Queries (Stratified)</t>
  </si>
  <si>
    <t>Expanded &amp; diversified evaluation set for ARA (submission COENG-19357)</t>
  </si>
  <si>
    <t>PURPOSE</t>
  </si>
  <si>
    <t>Why 30</t>
  </si>
  <si>
    <t>Triples the original N=10; gives Friedman/Wilcoxon real power and ~10 per stratum, while staying finishable. Positioned as a credible expert-rated DOMAIN evaluation, not a large ML benchmark.</t>
  </si>
  <si>
    <t>Stratified design</t>
  </si>
  <si>
    <t>10 Simple · 10 Borderline · 10 Complex. The borderline band (±20% of τ) is where routing accuracy stops being a foregone conclusion.</t>
  </si>
  <si>
    <t>Anchoring</t>
  </si>
  <si>
    <t>The 10 original queries (Source A) are retained VERBATIM so nothing is wasted; 20 new queries are grounded in two further contracts.</t>
  </si>
  <si>
    <t>SCORING MODEL  (manuscript formula, τ = 15.92)</t>
  </si>
  <si>
    <t>C(Q)</t>
  </si>
  <si>
    <t>1.0·|T| + 2.0·Ops + 1.5·Depth + 1.0·Amb + 2.0·Dom</t>
  </si>
  <si>
    <t>Route</t>
  </si>
  <si>
    <t>C(Q) &gt; τ → RAG-Gym (complex);  C(Q) ≤ τ → RAG-Flow (simple)</t>
  </si>
  <si>
    <t>Borderline band</t>
  </si>
  <si>
    <t>[12.74, 19.10]  (τ ± 20%)</t>
  </si>
  <si>
    <t>|T|</t>
  </si>
  <si>
    <t>Distinct content terms (stopword-filtered)</t>
  </si>
  <si>
    <t>Ops</t>
  </si>
  <si>
    <t>Count of logical operators (and / or / not / without / joins)</t>
  </si>
  <si>
    <t>Depth</t>
  </si>
  <si>
    <t>1 + conditional/nesting markers (if / when / where / whether / unless …)</t>
  </si>
  <si>
    <t>Amb</t>
  </si>
  <si>
    <t>Mean −log₁₀ p(t|D) over distinct terms — corpus-dependent</t>
  </si>
  <si>
    <t>Dom</t>
  </si>
  <si>
    <t>1·{multi-domain} + |Domains(Q)| — domain spread</t>
  </si>
  <si>
    <t>HEADLINE RESULT</t>
  </si>
  <si>
    <t>Routing accuracy</t>
  </si>
  <si>
    <t>Simple 100% · Borderline 70% · Complex 100% · Overall 90% — see Routing_Accuracy.</t>
  </si>
  <si>
    <t>Reading</t>
  </si>
  <si>
    <t>The 3 borderline misroutes are all true-complex questions scoring just below τ. They are the point: routing is a real metric only near the boundary.</t>
  </si>
  <si>
    <t>SOURCE CONTRACTS</t>
  </si>
  <si>
    <t>A</t>
  </si>
  <si>
    <t>ADB time-based consultancy (Sri Lanka) — original anchored queries.</t>
  </si>
  <si>
    <t>C</t>
  </si>
  <si>
    <t>New Bridge over the Kelani River, Steel Bridge Pkg 1, RDA/JICA — FIDIC MDB Harmonised. Measurement vs payment, shop- vs contract-drawings, variations, splice plates, notches/cope holes, transport, determinations (3.5), DB referral (20.1), delayed-payment interest (14.8).</t>
  </si>
  <si>
    <t>D</t>
  </si>
  <si>
    <t>Lecture Theatre Complex, Faculty of Science, Univ. of Kelaniya — Design &amp; Build, ICTAD/SBD/04. EOT (8.4) &amp; 42-day determination, Contractor's Claims (19.1), variation procedure (13.3) &amp; verbal-instruction confirmation (3.3), IPC reversal/estoppel, prevention/time-at-large, performance security, advance payment (14.2), design responsibility.</t>
  </si>
  <si>
    <t>IMPORTANT CAVEATS</t>
  </si>
  <si>
    <t>Amb is corpus-dependent</t>
  </si>
  <si>
    <t>Amb here is computed from the two uploaded contracts as a STAND-IN for the deployed corpus_stats.json. Absolute Amb (and borderline placements nearest τ) may shift under the deployed extractor.</t>
  </si>
  <si>
    <t>Tokenisation unlocked</t>
  </si>
  <si>
    <t>|T| uses distinct content terms; the exact tokenisation rule is the one flagged by reviewers (|T(Q1)|=4 vs 3) and should be locked in complexity.py for bit-exact reproduction.</t>
  </si>
  <si>
    <t>Anchored example X01</t>
  </si>
  <si>
    <t>The verbatim manuscript Table-1 complex example scores 16.24 under the stand-in extractor — upper borderline, but still routes complex correctly. Not reworded.</t>
  </si>
  <si>
    <t>Ground truth</t>
  </si>
  <si>
    <t>GT class is the expert routing label, independent of C(Q). It is what routing accuracy is measured against; borderline GT is deliberately mixed.</t>
  </si>
  <si>
    <t>ARA Complexity Model — Editable Parameters</t>
  </si>
  <si>
    <t>Edit the weights or τ and every score, route and stratum on Benchmark_30 recomputes (τ-sensitivity tool, reviewer pt R2-2).</t>
  </si>
  <si>
    <t>Weight α — |T| (distinct content terms)</t>
  </si>
  <si>
    <t>Weight α — Ops (logical operators)</t>
  </si>
  <si>
    <t>Weight α — Depth (nesting/conditional)</t>
  </si>
  <si>
    <t>Weight α — Amb (mean −log₁₀ p(t|D))</t>
  </si>
  <si>
    <t>Weight α — Dom (domain spread)</t>
  </si>
  <si>
    <t>Routing threshold  τ</t>
  </si>
  <si>
    <t>Borderline band lower  = τ × 0.8</t>
  </si>
  <si>
    <t>Borderline band upper  = τ × 1.2</t>
  </si>
  <si>
    <t>Construction Contract Query Benchmark — 30 queries (stratified)</t>
  </si>
  <si>
    <t>Sources: A = ADB consultancy (anchored originals) · C = Kelani River steel bridge DB referral (FIDIC MDB) · D = Univ. of Kelaniya Lecture Theatre, Design &amp; Build (ICTAD/SBD/04)</t>
  </si>
  <si>
    <t>ID</t>
  </si>
  <si>
    <t>Intended
Stratum</t>
  </si>
  <si>
    <t>Clause Type</t>
  </si>
  <si>
    <t>Src</t>
  </si>
  <si>
    <t>Anchored</t>
  </si>
  <si>
    <t>Query</t>
  </si>
  <si>
    <t>Landed
Band</t>
  </si>
  <si>
    <t>GT
Class</t>
  </si>
  <si>
    <t>Router
Correct</t>
  </si>
  <si>
    <t>S01</t>
  </si>
  <si>
    <t>simple</t>
  </si>
  <si>
    <t>Time / Commencement</t>
  </si>
  <si>
    <t>Yes</t>
  </si>
  <si>
    <t>What is the project commencement date?</t>
  </si>
  <si>
    <t>S02</t>
  </si>
  <si>
    <t>Defects Liability</t>
  </si>
  <si>
    <t>What is the defects liability period?</t>
  </si>
  <si>
    <t>S03</t>
  </si>
  <si>
    <t>Payment / Retention</t>
  </si>
  <si>
    <t>What is the retention percentage under the contract?</t>
  </si>
  <si>
    <t>S04</t>
  </si>
  <si>
    <t>Security / Performance Bond</t>
  </si>
  <si>
    <t>What is the value of the performance bond?</t>
  </si>
  <si>
    <t>S05</t>
  </si>
  <si>
    <t>Time / Liquidated Damages</t>
  </si>
  <si>
    <t>What is the liquidated damages rate per day?</t>
  </si>
  <si>
    <t>S06</t>
  </si>
  <si>
    <t>Payment / Contract Price</t>
  </si>
  <si>
    <t>—</t>
  </si>
  <si>
    <t>What is the Contract Price stated in the agreement?</t>
  </si>
  <si>
    <t>S07</t>
  </si>
  <si>
    <t>Security / Performance Security</t>
  </si>
  <si>
    <t>What percentage is the Performance Security?</t>
  </si>
  <si>
    <t>S08</t>
  </si>
  <si>
    <t>Measurement / Steel Weight</t>
  </si>
  <si>
    <t>What unit weight of steel is assumed in the contract?</t>
  </si>
  <si>
    <t>S09</t>
  </si>
  <si>
    <t>Time / EOT Determination</t>
  </si>
  <si>
    <t>What is the time limit for assessing an extension of time?</t>
  </si>
  <si>
    <t>S10</t>
  </si>
  <si>
    <t>Measurement / Drawings</t>
  </si>
  <si>
    <t>From which drawings are the computed weights taken?</t>
  </si>
  <si>
    <t>B01</t>
  </si>
  <si>
    <t>borderline</t>
  </si>
  <si>
    <t>Measurement / Splice Plates</t>
  </si>
  <si>
    <t>Are splice plates that replaced welded joints measured for payment?</t>
  </si>
  <si>
    <t>complex</t>
  </si>
  <si>
    <t>B02</t>
  </si>
  <si>
    <t>Measurement / Shop Drawings</t>
  </si>
  <si>
    <t>Can the contractor's approved shop drawings be used as the basis for measurement?</t>
  </si>
  <si>
    <t>B03</t>
  </si>
  <si>
    <t>Payment / IPC Reversal</t>
  </si>
  <si>
    <t>Can the Engineer reverse sums already certified and paid in earlier certificates?</t>
  </si>
  <si>
    <t>B04</t>
  </si>
  <si>
    <t>Variation / Verbal Instructions</t>
  </si>
  <si>
    <t>Must verbal instructions given at progress meetings be confirmed in writing?</t>
  </si>
  <si>
    <t>B05</t>
  </si>
  <si>
    <t>Measurement / Notches</t>
  </si>
  <si>
    <t>Does cutting a corner from a steel pier count as a notch under the contract?</t>
  </si>
  <si>
    <t>B06</t>
  </si>
  <si>
    <t>Time / Prevention</t>
  </si>
  <si>
    <t>Does late handover of site possession entitle the contractor to extension of time?</t>
  </si>
  <si>
    <t>B07</t>
  </si>
  <si>
    <t>Security / Guarantees</t>
  </si>
  <si>
    <t>What bank guarantees must the contractor submit to the Employer before the commencement date?</t>
  </si>
  <si>
    <t>B08</t>
  </si>
  <si>
    <t>Time / EOT Conditions</t>
  </si>
  <si>
    <t>Can a grant of extension of time be conditioned on an enhanced performance bond?</t>
  </si>
  <si>
    <t>B09</t>
  </si>
  <si>
    <t>Payment / Delayed Interest</t>
  </si>
  <si>
    <t>Is interest payable on a sum certified but paid late?</t>
  </si>
  <si>
    <t>B10</t>
  </si>
  <si>
    <t>Variation / Alternative Procedure</t>
  </si>
  <si>
    <t>When the contractor proposes an alternative splice position who bears the cost?</t>
  </si>
  <si>
    <t>X01</t>
  </si>
  <si>
    <t>Time / Acceleration</t>
  </si>
  <si>
    <t>If the contractor must work overnight to accelerate the project what are the legal implications under the contract?</t>
  </si>
  <si>
    <t>X02</t>
  </si>
  <si>
    <t>Dispute / Arbitration</t>
  </si>
  <si>
    <t>If the employer fails to nominate an arbitrator can the contractor proceed unilaterally and what costs may be recovered?</t>
  </si>
  <si>
    <t>X03</t>
  </si>
  <si>
    <t>Variation / EOT &amp; Cost</t>
  </si>
  <si>
    <t>If a variation increases cost and delays completion how are extension of time and additional payment assessed together under the contract?</t>
  </si>
  <si>
    <t>X04</t>
  </si>
  <si>
    <t>Time / Concurrent Delay</t>
  </si>
  <si>
    <t>When concurrent delay arises from both employer and contractor causes how are extension of time and liquidated damages apportioned?</t>
  </si>
  <si>
    <t>X05</t>
  </si>
  <si>
    <t>Termination / Force Majeure</t>
  </si>
  <si>
    <t>If force majeure prevents performance and the contract is terminated how are advance payments retention and demobilisation costs settled?</t>
  </si>
  <si>
    <t>X06</t>
  </si>
  <si>
    <t>Measurement / Double Payment</t>
  </si>
  <si>
    <t>Where the contractor changed welded joints to bolted splices for transport and the welds were already paid in the fabrication rates, is further payment for the splice plates an impermissible double payment under the measurement and payment clauses?</t>
  </si>
  <si>
    <t>X07</t>
  </si>
  <si>
    <t>Time / Time at Large</t>
  </si>
  <si>
    <t>When the Engineer fails to determine multiple extension of time applications within the 42-day period and pre-announces that no extension will be granted, is time set at large and are liquidated damages forfeited?</t>
  </si>
  <si>
    <t>X08</t>
  </si>
  <si>
    <t>Variation / Design &amp; Build</t>
  </si>
  <si>
    <t>Where enhanced ventilation requirements issued mid-contract exceed the original employer's requirements, how are the additional cost and extension of time assessed together under the design and build conditions?</t>
  </si>
  <si>
    <t>X09</t>
  </si>
  <si>
    <t>Measurement / Priority of Documents</t>
  </si>
  <si>
    <t>If the contract drawings lacked dimensions and the Engineer measured from shop drawings to expedite payment, does that make shop drawings the basis for measurement, and how is the conflict resolved under the priority of documents and determination clauses?</t>
  </si>
  <si>
    <t>X10</t>
  </si>
  <si>
    <t>Payment / Estoppel &amp; Remedy</t>
  </si>
  <si>
    <t>Where the employer's late site possession caused cost escalation that the employer partly approved but the engineer later reversed across several certificates, can the reversal be sustained and what estoppel and remedy arguments apply?</t>
  </si>
  <si>
    <t>Routing Accuracy by Stratum</t>
  </si>
  <si>
    <t>Router class = sign of C(Q) vs τ. Ground-truth class = expert label. Accuracy = share where they agree.</t>
  </si>
  <si>
    <t>Stratum</t>
  </si>
  <si>
    <t>n</t>
  </si>
  <si>
    <t>Router Correct</t>
  </si>
  <si>
    <t>Accuracy</t>
  </si>
  <si>
    <t>Note</t>
  </si>
  <si>
    <t>Simple</t>
  </si>
  <si>
    <t>Clear lookups — router decision trivial.</t>
  </si>
  <si>
    <t>Borderline</t>
  </si>
  <si>
    <t>Near τ — where routing is a genuine, non-trivial test.</t>
  </si>
  <si>
    <t>Complex</t>
  </si>
  <si>
    <t>Clear multi-clause reasoning — router decision trivial.</t>
  </si>
  <si>
    <t>Overall</t>
  </si>
  <si>
    <t>Clause-Type &amp; Source Coverage</t>
  </si>
  <si>
    <t>Demonstrates diversity beyond the original payment/dispute pair (reviewer pt R2-1: larger AND more diverse).</t>
  </si>
  <si>
    <t>Clause Family</t>
  </si>
  <si>
    <t>Queries</t>
  </si>
  <si>
    <t>Count</t>
  </si>
  <si>
    <t>Dispute</t>
  </si>
  <si>
    <t>Measurement</t>
  </si>
  <si>
    <t>S08, S10, B01, B02, B05, X06, X09</t>
  </si>
  <si>
    <t>Payment</t>
  </si>
  <si>
    <t>S03, S06, B03, B09, X10</t>
  </si>
  <si>
    <t>Security</t>
  </si>
  <si>
    <t>S04, S07, B07</t>
  </si>
  <si>
    <t>Termination</t>
  </si>
  <si>
    <t>Time</t>
  </si>
  <si>
    <t>S01, S05, S09, B06, B08, X01, X04, X07</t>
  </si>
  <si>
    <t>Variation</t>
  </si>
  <si>
    <t>B04, B10, X03, X08</t>
  </si>
  <si>
    <t>8 clause families</t>
  </si>
  <si>
    <t>Source contracts</t>
  </si>
  <si>
    <t>A — ADB consultancy (anchored originals)</t>
  </si>
  <si>
    <t>B — Kelani River steel bridge (FIDIC MDB)</t>
  </si>
  <si>
    <t>C — Statement of Claim prepared based on Conditions of ICTAD/CIDA SBD/04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</si>
</sst>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6"/>
      <color rgb="FF1F3864"/>
      <name val="Arial"/>
      <charset val="1"/>
    </font>
    <font>
      <i/>
      <sz val="10"/>
      <color rgb="FF2E5496"/>
      <name val="Arial"/>
      <charset val="1"/>
    </font>
    <font>
      <b/>
      <sz val="11"/>
      <color rgb="FF1F3864"/>
      <name val="Arial"/>
      <charset val="1"/>
    </font>
    <font>
      <b/>
      <sz val="11"/>
      <name val="Arial"/>
      <charset val="1"/>
    </font>
    <font>
      <sz val="10"/>
      <name val="Arial"/>
      <charset val="1"/>
    </font>
    <font>
      <b/>
      <sz val="14"/>
      <color rgb="FF1F3864"/>
      <name val="Arial"/>
      <charset val="1"/>
    </font>
    <font>
      <i/>
      <sz val="9"/>
      <color rgb="FF808080"/>
      <name val="Arial"/>
      <charset val="1"/>
    </font>
    <font>
      <sz val="10"/>
      <color rgb="FF0000FF"/>
      <name val="Arial"/>
      <charset val="1"/>
    </font>
    <font>
      <b/>
      <sz val="11"/>
      <color rgb="FFFFFFFF"/>
      <name val="Arial"/>
      <charset val="1"/>
    </font>
  </fonts>
  <fills count="8">
    <fill>
      <patternFill patternType="none"/>
    </fill>
    <fill>
      <patternFill patternType="gray125"/>
    </fill>
    <fill>
      <patternFill patternType="solid">
        <fgColor rgb="FFD6E0F0"/>
        <bgColor rgb="FFE2EFDA"/>
      </patternFill>
    </fill>
    <fill>
      <patternFill patternType="solid">
        <fgColor rgb="FFFFF2CC"/>
        <bgColor rgb="FFFFF7E6"/>
      </patternFill>
    </fill>
    <fill>
      <patternFill patternType="solid">
        <fgColor rgb="FF1F3864"/>
        <bgColor rgb="FF333333"/>
      </patternFill>
    </fill>
    <fill>
      <patternFill patternType="solid">
        <fgColor rgb="FFE2EFDA"/>
        <bgColor rgb="FFD6E0F0"/>
      </patternFill>
    </fill>
    <fill>
      <patternFill patternType="solid">
        <fgColor rgb="FFFFF7E6"/>
        <bgColor rgb="FFFFF2CC"/>
      </patternFill>
    </fill>
    <fill>
      <patternFill patternType="solid">
        <fgColor rgb="FFFCE4D6"/>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applyAlignment="1">
      <alignment vertical="top" wrapText="1"/>
    </xf>
    <xf numFmtId="0" fontId="4" fillId="0" borderId="0" xfId="0" applyFont="1"/>
    <xf numFmtId="0" fontId="5" fillId="0" borderId="0" xfId="0" applyFont="1" applyAlignment="1">
      <alignment vertical="top" wrapText="1"/>
    </xf>
    <xf numFmtId="0" fontId="6" fillId="0" borderId="0" xfId="0" applyFont="1"/>
    <xf numFmtId="0" fontId="7" fillId="0" borderId="0" xfId="0" applyFont="1"/>
    <xf numFmtId="0" fontId="5" fillId="0" borderId="0" xfId="0" applyFont="1"/>
    <xf numFmtId="0" fontId="8"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5" borderId="1" xfId="0" applyFont="1" applyFill="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horizontal="center" vertical="center"/>
    </xf>
    <xf numFmtId="2" fontId="5" fillId="0" borderId="1" xfId="0" applyNumberFormat="1" applyFont="1" applyBorder="1" applyAlignment="1">
      <alignment horizontal="center" vertical="center"/>
    </xf>
    <xf numFmtId="0" fontId="5" fillId="0" borderId="0" xfId="0" applyFont="1" applyAlignment="1">
      <alignment horizontal="center" vertical="center"/>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9" fillId="4" borderId="1" xfId="0" applyFont="1" applyFill="1" applyBorder="1" applyAlignment="1">
      <alignment horizontal="center" vertical="center"/>
    </xf>
    <xf numFmtId="0" fontId="5" fillId="0" borderId="1" xfId="0" applyFont="1" applyBorder="1" applyAlignment="1">
      <alignment vertical="center" wrapText="1"/>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7" fillId="0" borderId="1" xfId="0" applyFont="1" applyBorder="1" applyAlignment="1">
      <alignment vertical="center" wrapText="1"/>
    </xf>
    <xf numFmtId="0" fontId="4" fillId="2" borderId="1" xfId="0" applyFont="1" applyFill="1" applyBorder="1" applyAlignment="1">
      <alignment horizontal="center" vertical="center"/>
    </xf>
    <xf numFmtId="9" fontId="4" fillId="2" borderId="1" xfId="0" applyNumberFormat="1" applyFont="1" applyFill="1" applyBorder="1" applyAlignment="1">
      <alignment horizontal="center" vertical="center"/>
    </xf>
    <xf numFmtId="0" fontId="5" fillId="0" borderId="1" xfId="0" applyFont="1" applyBorder="1"/>
    <xf numFmtId="0" fontId="4" fillId="2"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6E0F0"/>
      <rgbColor rgb="FF000080"/>
      <rgbColor rgb="FFFF00FF"/>
      <rgbColor rgb="FFFFFF00"/>
      <rgbColor rgb="FF00FFFF"/>
      <rgbColor rgb="FF800080"/>
      <rgbColor rgb="FF800000"/>
      <rgbColor rgb="FF008080"/>
      <rgbColor rgb="FF0000FF"/>
      <rgbColor rgb="FF00CCFF"/>
      <rgbColor rgb="FFCCFFFF"/>
      <rgbColor rgb="FFE2EFDA"/>
      <rgbColor rgb="FFFFF7E6"/>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3"/>
  <sheetViews>
    <sheetView showGridLines="0" tabSelected="1" zoomScaleNormal="100" workbookViewId="0"/>
  </sheetViews>
  <sheetFormatPr defaultColWidth="8.7109375" defaultRowHeight="15" x14ac:dyDescent="0.25"/>
  <cols>
    <col min="1" max="1" width="3" customWidth="1"/>
    <col min="2" max="2" width="34" customWidth="1"/>
    <col min="3" max="3" width="96" customWidth="1"/>
  </cols>
  <sheetData>
    <row r="2" spans="2:3" ht="20.25" x14ac:dyDescent="0.3">
      <c r="B2" s="1" t="s">
        <v>0</v>
      </c>
    </row>
    <row r="3" spans="2:3" x14ac:dyDescent="0.25">
      <c r="B3" s="2" t="s">
        <v>1</v>
      </c>
    </row>
    <row r="5" spans="2:3" x14ac:dyDescent="0.25">
      <c r="B5" s="3" t="s">
        <v>2</v>
      </c>
      <c r="C5" s="4"/>
    </row>
    <row r="6" spans="2:3" ht="25.5" x14ac:dyDescent="0.25">
      <c r="B6" s="5" t="s">
        <v>3</v>
      </c>
      <c r="C6" s="6" t="s">
        <v>4</v>
      </c>
    </row>
    <row r="7" spans="2:3" ht="25.5" x14ac:dyDescent="0.25">
      <c r="B7" s="5" t="s">
        <v>5</v>
      </c>
      <c r="C7" s="6" t="s">
        <v>6</v>
      </c>
    </row>
    <row r="8" spans="2:3" ht="25.5" x14ac:dyDescent="0.25">
      <c r="B8" s="5" t="s">
        <v>7</v>
      </c>
      <c r="C8" s="6" t="s">
        <v>8</v>
      </c>
    </row>
    <row r="9" spans="2:3" x14ac:dyDescent="0.25">
      <c r="B9" s="5"/>
      <c r="C9" s="6"/>
    </row>
    <row r="10" spans="2:3" x14ac:dyDescent="0.25">
      <c r="B10" s="3" t="s">
        <v>9</v>
      </c>
      <c r="C10" s="4"/>
    </row>
    <row r="11" spans="2:3" x14ac:dyDescent="0.25">
      <c r="B11" s="5" t="s">
        <v>10</v>
      </c>
      <c r="C11" s="6" t="s">
        <v>11</v>
      </c>
    </row>
    <row r="12" spans="2:3" x14ac:dyDescent="0.25">
      <c r="B12" s="5" t="s">
        <v>12</v>
      </c>
      <c r="C12" s="6" t="s">
        <v>13</v>
      </c>
    </row>
    <row r="13" spans="2:3" x14ac:dyDescent="0.25">
      <c r="B13" s="5" t="s">
        <v>14</v>
      </c>
      <c r="C13" s="6" t="s">
        <v>15</v>
      </c>
    </row>
    <row r="14" spans="2:3" x14ac:dyDescent="0.25">
      <c r="B14" s="5" t="s">
        <v>16</v>
      </c>
      <c r="C14" s="6" t="s">
        <v>17</v>
      </c>
    </row>
    <row r="15" spans="2:3" x14ac:dyDescent="0.25">
      <c r="B15" s="5" t="s">
        <v>18</v>
      </c>
      <c r="C15" s="6" t="s">
        <v>19</v>
      </c>
    </row>
    <row r="16" spans="2:3" x14ac:dyDescent="0.25">
      <c r="B16" s="5" t="s">
        <v>20</v>
      </c>
      <c r="C16" s="6" t="s">
        <v>21</v>
      </c>
    </row>
    <row r="17" spans="2:3" x14ac:dyDescent="0.25">
      <c r="B17" s="5" t="s">
        <v>22</v>
      </c>
      <c r="C17" s="6" t="s">
        <v>23</v>
      </c>
    </row>
    <row r="18" spans="2:3" x14ac:dyDescent="0.25">
      <c r="B18" s="5" t="s">
        <v>24</v>
      </c>
      <c r="C18" s="6" t="s">
        <v>25</v>
      </c>
    </row>
    <row r="19" spans="2:3" x14ac:dyDescent="0.25">
      <c r="B19" s="5"/>
      <c r="C19" s="6"/>
    </row>
    <row r="20" spans="2:3" x14ac:dyDescent="0.25">
      <c r="B20" s="3" t="s">
        <v>26</v>
      </c>
      <c r="C20" s="4"/>
    </row>
    <row r="21" spans="2:3" x14ac:dyDescent="0.25">
      <c r="B21" s="5" t="s">
        <v>27</v>
      </c>
      <c r="C21" s="6" t="s">
        <v>28</v>
      </c>
    </row>
    <row r="22" spans="2:3" ht="25.5" x14ac:dyDescent="0.25">
      <c r="B22" s="5" t="s">
        <v>29</v>
      </c>
      <c r="C22" s="6" t="s">
        <v>30</v>
      </c>
    </row>
    <row r="23" spans="2:3" x14ac:dyDescent="0.25">
      <c r="B23" s="5"/>
      <c r="C23" s="6"/>
    </row>
    <row r="24" spans="2:3" x14ac:dyDescent="0.25">
      <c r="B24" s="3" t="s">
        <v>31</v>
      </c>
      <c r="C24" s="4"/>
    </row>
    <row r="25" spans="2:3" x14ac:dyDescent="0.25">
      <c r="B25" s="5" t="s">
        <v>32</v>
      </c>
      <c r="C25" s="6" t="s">
        <v>33</v>
      </c>
    </row>
    <row r="26" spans="2:3" ht="38.25" x14ac:dyDescent="0.25">
      <c r="B26" s="5" t="s">
        <v>34</v>
      </c>
      <c r="C26" s="6" t="s">
        <v>35</v>
      </c>
    </row>
    <row r="27" spans="2:3" ht="51" x14ac:dyDescent="0.25">
      <c r="B27" s="5" t="s">
        <v>36</v>
      </c>
      <c r="C27" s="6" t="s">
        <v>37</v>
      </c>
    </row>
    <row r="28" spans="2:3" x14ac:dyDescent="0.25">
      <c r="B28" s="5"/>
      <c r="C28" s="6"/>
    </row>
    <row r="29" spans="2:3" x14ac:dyDescent="0.25">
      <c r="B29" s="3" t="s">
        <v>38</v>
      </c>
      <c r="C29" s="4"/>
    </row>
    <row r="30" spans="2:3" ht="25.5" x14ac:dyDescent="0.25">
      <c r="B30" s="5" t="s">
        <v>39</v>
      </c>
      <c r="C30" s="6" t="s">
        <v>40</v>
      </c>
    </row>
    <row r="31" spans="2:3" ht="25.5" x14ac:dyDescent="0.25">
      <c r="B31" s="5" t="s">
        <v>41</v>
      </c>
      <c r="C31" s="6" t="s">
        <v>42</v>
      </c>
    </row>
    <row r="32" spans="2:3" ht="25.5" x14ac:dyDescent="0.25">
      <c r="B32" s="5" t="s">
        <v>43</v>
      </c>
      <c r="C32" s="6" t="s">
        <v>44</v>
      </c>
    </row>
    <row r="33" spans="2:3" ht="25.5" x14ac:dyDescent="0.25">
      <c r="B33" s="5" t="s">
        <v>45</v>
      </c>
      <c r="C33" s="6" t="s">
        <v>46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2"/>
  <sheetViews>
    <sheetView zoomScaleNormal="100" workbookViewId="0"/>
  </sheetViews>
  <sheetFormatPr defaultColWidth="8.7109375" defaultRowHeight="15" x14ac:dyDescent="0.25"/>
  <cols>
    <col min="1" max="1" width="44" customWidth="1"/>
    <col min="2" max="2" width="12" customWidth="1"/>
  </cols>
  <sheetData>
    <row r="2" spans="1:2" ht="18" x14ac:dyDescent="0.25">
      <c r="B2" s="7" t="s">
        <v>47</v>
      </c>
    </row>
    <row r="3" spans="1:2" x14ac:dyDescent="0.25">
      <c r="B3" s="8" t="s">
        <v>48</v>
      </c>
    </row>
    <row r="5" spans="1:2" x14ac:dyDescent="0.25">
      <c r="A5" s="9" t="s">
        <v>49</v>
      </c>
      <c r="B5" s="10">
        <v>1</v>
      </c>
    </row>
    <row r="6" spans="1:2" x14ac:dyDescent="0.25">
      <c r="A6" s="9" t="s">
        <v>50</v>
      </c>
      <c r="B6" s="10">
        <v>2</v>
      </c>
    </row>
    <row r="7" spans="1:2" x14ac:dyDescent="0.25">
      <c r="A7" s="9" t="s">
        <v>51</v>
      </c>
      <c r="B7" s="10">
        <v>1.5</v>
      </c>
    </row>
    <row r="8" spans="1:2" x14ac:dyDescent="0.25">
      <c r="A8" s="9" t="s">
        <v>52</v>
      </c>
      <c r="B8" s="10">
        <v>1</v>
      </c>
    </row>
    <row r="9" spans="1:2" x14ac:dyDescent="0.25">
      <c r="A9" s="9" t="s">
        <v>53</v>
      </c>
      <c r="B9" s="10">
        <v>2</v>
      </c>
    </row>
    <row r="10" spans="1:2" x14ac:dyDescent="0.25">
      <c r="A10" s="9" t="s">
        <v>54</v>
      </c>
      <c r="B10" s="10">
        <v>15.92</v>
      </c>
    </row>
    <row r="11" spans="1:2" x14ac:dyDescent="0.25">
      <c r="A11" s="9" t="s">
        <v>55</v>
      </c>
      <c r="B11" s="11">
        <f>B10*0.8</f>
        <v>12.736000000000001</v>
      </c>
    </row>
    <row r="12" spans="1:2" x14ac:dyDescent="0.25">
      <c r="A12" s="9" t="s">
        <v>56</v>
      </c>
      <c r="B12" s="11">
        <f>B10*1.2</f>
        <v>19.103999999999999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4"/>
  <sheetViews>
    <sheetView zoomScaleNormal="100" workbookViewId="0">
      <pane ySplit="4" topLeftCell="A5" activePane="bottomLeft" state="frozen"/>
      <selection pane="bottomLeft"/>
    </sheetView>
  </sheetViews>
  <sheetFormatPr defaultColWidth="8.7109375" defaultRowHeight="15" x14ac:dyDescent="0.25"/>
  <cols>
    <col min="1" max="1" width="6" customWidth="1"/>
    <col min="2" max="2" width="11" customWidth="1"/>
    <col min="3" max="3" width="24" customWidth="1"/>
    <col min="4" max="4" width="5" customWidth="1"/>
    <col min="5" max="5" width="9" customWidth="1"/>
    <col min="6" max="6" width="60" customWidth="1"/>
    <col min="7" max="8" width="5" customWidth="1"/>
    <col min="9" max="9" width="6" customWidth="1"/>
    <col min="10" max="10" width="7" customWidth="1"/>
    <col min="11" max="11" width="5" customWidth="1"/>
    <col min="12" max="12" width="8" customWidth="1"/>
    <col min="13" max="14" width="11" customWidth="1"/>
    <col min="15" max="16" width="9" customWidth="1"/>
  </cols>
  <sheetData>
    <row r="1" spans="1:16" ht="18" x14ac:dyDescent="0.25">
      <c r="A1" s="7" t="s">
        <v>57</v>
      </c>
    </row>
    <row r="2" spans="1:16" x14ac:dyDescent="0.25">
      <c r="A2" s="8" t="s">
        <v>58</v>
      </c>
    </row>
    <row r="4" spans="1:16" ht="30" x14ac:dyDescent="0.25">
      <c r="A4" s="12" t="s">
        <v>59</v>
      </c>
      <c r="B4" s="12" t="s">
        <v>60</v>
      </c>
      <c r="C4" s="12" t="s">
        <v>61</v>
      </c>
      <c r="D4" s="12" t="s">
        <v>62</v>
      </c>
      <c r="E4" s="12" t="s">
        <v>63</v>
      </c>
      <c r="F4" s="12" t="s">
        <v>64</v>
      </c>
      <c r="G4" s="12" t="s">
        <v>16</v>
      </c>
      <c r="H4" s="12" t="s">
        <v>18</v>
      </c>
      <c r="I4" s="12" t="s">
        <v>20</v>
      </c>
      <c r="J4" s="12" t="s">
        <v>22</v>
      </c>
      <c r="K4" s="12" t="s">
        <v>24</v>
      </c>
      <c r="L4" s="12" t="s">
        <v>10</v>
      </c>
      <c r="M4" s="12" t="s">
        <v>12</v>
      </c>
      <c r="N4" s="12" t="s">
        <v>65</v>
      </c>
      <c r="O4" s="12" t="s">
        <v>66</v>
      </c>
      <c r="P4" s="12" t="s">
        <v>67</v>
      </c>
    </row>
    <row r="5" spans="1:16" x14ac:dyDescent="0.25">
      <c r="A5" s="13" t="s">
        <v>68</v>
      </c>
      <c r="B5" s="14" t="s">
        <v>69</v>
      </c>
      <c r="C5" s="15" t="s">
        <v>70</v>
      </c>
      <c r="D5" s="13" t="s">
        <v>32</v>
      </c>
      <c r="E5" s="13" t="s">
        <v>71</v>
      </c>
      <c r="F5" s="15" t="s">
        <v>72</v>
      </c>
      <c r="G5" s="16">
        <v>3</v>
      </c>
      <c r="H5" s="16">
        <v>0</v>
      </c>
      <c r="I5" s="16">
        <v>1</v>
      </c>
      <c r="J5" s="16">
        <v>3.0870000000000002</v>
      </c>
      <c r="K5" s="16">
        <v>1</v>
      </c>
      <c r="L5" s="17">
        <f>G5*Model!$B$5+H5*Model!$B$6+I5*Model!$B$7+J5*Model!$B$8+K5*Model!$B$9</f>
        <v>9.5869999999999997</v>
      </c>
      <c r="M5" s="13" t="str">
        <f>IF(L5&gt;Model!$B$10,"RAG-Gym","RAG-Flow")</f>
        <v>RAG-Flow</v>
      </c>
      <c r="N5" s="13" t="str">
        <f>IF(L5&lt;Model!$B$11,"Simple",IF(L5&gt;Model!$B$12,"Complex","Borderline"))</f>
        <v>Simple</v>
      </c>
      <c r="O5" s="18" t="s">
        <v>69</v>
      </c>
      <c r="P5" s="13">
        <f>IF(IF(L5&gt;Model!$B$10,"complex","simple")=O5,1,0)</f>
        <v>1</v>
      </c>
    </row>
    <row r="6" spans="1:16" x14ac:dyDescent="0.25">
      <c r="A6" s="13" t="s">
        <v>73</v>
      </c>
      <c r="B6" s="14" t="s">
        <v>69</v>
      </c>
      <c r="C6" s="15" t="s">
        <v>74</v>
      </c>
      <c r="D6" s="13" t="s">
        <v>32</v>
      </c>
      <c r="E6" s="13" t="s">
        <v>71</v>
      </c>
      <c r="F6" s="15" t="s">
        <v>75</v>
      </c>
      <c r="G6" s="16">
        <v>3</v>
      </c>
      <c r="H6" s="16">
        <v>0</v>
      </c>
      <c r="I6" s="16">
        <v>1</v>
      </c>
      <c r="J6" s="16">
        <v>3.7970000000000002</v>
      </c>
      <c r="K6" s="16">
        <v>1</v>
      </c>
      <c r="L6" s="17">
        <f>G6*Model!$B$5+H6*Model!$B$6+I6*Model!$B$7+J6*Model!$B$8+K6*Model!$B$9</f>
        <v>10.297000000000001</v>
      </c>
      <c r="M6" s="13" t="str">
        <f>IF(L6&gt;Model!$B$10,"RAG-Gym","RAG-Flow")</f>
        <v>RAG-Flow</v>
      </c>
      <c r="N6" s="13" t="str">
        <f>IF(L6&lt;Model!$B$11,"Simple",IF(L6&gt;Model!$B$12,"Complex","Borderline"))</f>
        <v>Simple</v>
      </c>
      <c r="O6" s="18" t="s">
        <v>69</v>
      </c>
      <c r="P6" s="13">
        <f>IF(IF(L6&gt;Model!$B$10,"complex","simple")=O6,1,0)</f>
        <v>1</v>
      </c>
    </row>
    <row r="7" spans="1:16" x14ac:dyDescent="0.25">
      <c r="A7" s="13" t="s">
        <v>76</v>
      </c>
      <c r="B7" s="14" t="s">
        <v>69</v>
      </c>
      <c r="C7" s="15" t="s">
        <v>77</v>
      </c>
      <c r="D7" s="13" t="s">
        <v>32</v>
      </c>
      <c r="E7" s="13" t="s">
        <v>71</v>
      </c>
      <c r="F7" s="15" t="s">
        <v>78</v>
      </c>
      <c r="G7" s="16">
        <v>3</v>
      </c>
      <c r="H7" s="16">
        <v>0</v>
      </c>
      <c r="I7" s="16">
        <v>1</v>
      </c>
      <c r="J7" s="16">
        <v>3.3980000000000001</v>
      </c>
      <c r="K7" s="16">
        <v>1</v>
      </c>
      <c r="L7" s="17">
        <f>G7*Model!$B$5+H7*Model!$B$6+I7*Model!$B$7+J7*Model!$B$8+K7*Model!$B$9</f>
        <v>9.8979999999999997</v>
      </c>
      <c r="M7" s="13" t="str">
        <f>IF(L7&gt;Model!$B$10,"RAG-Gym","RAG-Flow")</f>
        <v>RAG-Flow</v>
      </c>
      <c r="N7" s="13" t="str">
        <f>IF(L7&lt;Model!$B$11,"Simple",IF(L7&gt;Model!$B$12,"Complex","Borderline"))</f>
        <v>Simple</v>
      </c>
      <c r="O7" s="18" t="s">
        <v>69</v>
      </c>
      <c r="P7" s="13">
        <f>IF(IF(L7&gt;Model!$B$10,"complex","simple")=O7,1,0)</f>
        <v>1</v>
      </c>
    </row>
    <row r="8" spans="1:16" ht="25.5" x14ac:dyDescent="0.25">
      <c r="A8" s="13" t="s">
        <v>79</v>
      </c>
      <c r="B8" s="14" t="s">
        <v>69</v>
      </c>
      <c r="C8" s="15" t="s">
        <v>80</v>
      </c>
      <c r="D8" s="13" t="s">
        <v>32</v>
      </c>
      <c r="E8" s="13" t="s">
        <v>71</v>
      </c>
      <c r="F8" s="15" t="s">
        <v>81</v>
      </c>
      <c r="G8" s="16">
        <v>3</v>
      </c>
      <c r="H8" s="16">
        <v>0</v>
      </c>
      <c r="I8" s="16">
        <v>1</v>
      </c>
      <c r="J8" s="16">
        <v>3.9039999999999999</v>
      </c>
      <c r="K8" s="16">
        <v>1</v>
      </c>
      <c r="L8" s="17">
        <f>G8*Model!$B$5+H8*Model!$B$6+I8*Model!$B$7+J8*Model!$B$8+K8*Model!$B$9</f>
        <v>10.404</v>
      </c>
      <c r="M8" s="13" t="str">
        <f>IF(L8&gt;Model!$B$10,"RAG-Gym","RAG-Flow")</f>
        <v>RAG-Flow</v>
      </c>
      <c r="N8" s="13" t="str">
        <f>IF(L8&lt;Model!$B$11,"Simple",IF(L8&gt;Model!$B$12,"Complex","Borderline"))</f>
        <v>Simple</v>
      </c>
      <c r="O8" s="18" t="s">
        <v>69</v>
      </c>
      <c r="P8" s="13">
        <f>IF(IF(L8&gt;Model!$B$10,"complex","simple")=O8,1,0)</f>
        <v>1</v>
      </c>
    </row>
    <row r="9" spans="1:16" x14ac:dyDescent="0.25">
      <c r="A9" s="13" t="s">
        <v>82</v>
      </c>
      <c r="B9" s="14" t="s">
        <v>69</v>
      </c>
      <c r="C9" s="15" t="s">
        <v>83</v>
      </c>
      <c r="D9" s="13" t="s">
        <v>32</v>
      </c>
      <c r="E9" s="13" t="s">
        <v>71</v>
      </c>
      <c r="F9" s="15" t="s">
        <v>84</v>
      </c>
      <c r="G9" s="16">
        <v>4</v>
      </c>
      <c r="H9" s="16">
        <v>0</v>
      </c>
      <c r="I9" s="16">
        <v>1</v>
      </c>
      <c r="J9" s="16">
        <v>3.5470000000000002</v>
      </c>
      <c r="K9" s="16">
        <v>1</v>
      </c>
      <c r="L9" s="17">
        <f>G9*Model!$B$5+H9*Model!$B$6+I9*Model!$B$7+J9*Model!$B$8+K9*Model!$B$9</f>
        <v>11.047000000000001</v>
      </c>
      <c r="M9" s="13" t="str">
        <f>IF(L9&gt;Model!$B$10,"RAG-Gym","RAG-Flow")</f>
        <v>RAG-Flow</v>
      </c>
      <c r="N9" s="13" t="str">
        <f>IF(L9&lt;Model!$B$11,"Simple",IF(L9&gt;Model!$B$12,"Complex","Borderline"))</f>
        <v>Simple</v>
      </c>
      <c r="O9" s="18" t="s">
        <v>69</v>
      </c>
      <c r="P9" s="13">
        <f>IF(IF(L9&gt;Model!$B$10,"complex","simple")=O9,1,0)</f>
        <v>1</v>
      </c>
    </row>
    <row r="10" spans="1:16" x14ac:dyDescent="0.25">
      <c r="A10" s="13" t="s">
        <v>85</v>
      </c>
      <c r="B10" s="14" t="s">
        <v>69</v>
      </c>
      <c r="C10" s="15" t="s">
        <v>86</v>
      </c>
      <c r="D10" s="13" t="s">
        <v>36</v>
      </c>
      <c r="E10" s="13" t="s">
        <v>87</v>
      </c>
      <c r="F10" s="15" t="s">
        <v>88</v>
      </c>
      <c r="G10" s="16">
        <v>4</v>
      </c>
      <c r="H10" s="16">
        <v>0</v>
      </c>
      <c r="I10" s="16">
        <v>1</v>
      </c>
      <c r="J10" s="16">
        <v>2.9180000000000001</v>
      </c>
      <c r="K10" s="16">
        <v>1</v>
      </c>
      <c r="L10" s="17">
        <f>G10*Model!$B$5+H10*Model!$B$6+I10*Model!$B$7+J10*Model!$B$8+K10*Model!$B$9</f>
        <v>10.417999999999999</v>
      </c>
      <c r="M10" s="13" t="str">
        <f>IF(L10&gt;Model!$B$10,"RAG-Gym","RAG-Flow")</f>
        <v>RAG-Flow</v>
      </c>
      <c r="N10" s="13" t="str">
        <f>IF(L10&lt;Model!$B$11,"Simple",IF(L10&gt;Model!$B$12,"Complex","Borderline"))</f>
        <v>Simple</v>
      </c>
      <c r="O10" s="18" t="s">
        <v>69</v>
      </c>
      <c r="P10" s="13">
        <f>IF(IF(L10&gt;Model!$B$10,"complex","simple")=O10,1,0)</f>
        <v>1</v>
      </c>
    </row>
    <row r="11" spans="1:16" ht="25.5" x14ac:dyDescent="0.25">
      <c r="A11" s="13" t="s">
        <v>89</v>
      </c>
      <c r="B11" s="14" t="s">
        <v>69</v>
      </c>
      <c r="C11" s="15" t="s">
        <v>90</v>
      </c>
      <c r="D11" s="13" t="s">
        <v>36</v>
      </c>
      <c r="E11" s="13" t="s">
        <v>87</v>
      </c>
      <c r="F11" s="15" t="s">
        <v>91</v>
      </c>
      <c r="G11" s="16">
        <v>3</v>
      </c>
      <c r="H11" s="16">
        <v>0</v>
      </c>
      <c r="I11" s="16">
        <v>1</v>
      </c>
      <c r="J11" s="16">
        <v>3.9039999999999999</v>
      </c>
      <c r="K11" s="16">
        <v>1</v>
      </c>
      <c r="L11" s="17">
        <f>G11*Model!$B$5+H11*Model!$B$6+I11*Model!$B$7+J11*Model!$B$8+K11*Model!$B$9</f>
        <v>10.404</v>
      </c>
      <c r="M11" s="13" t="str">
        <f>IF(L11&gt;Model!$B$10,"RAG-Gym","RAG-Flow")</f>
        <v>RAG-Flow</v>
      </c>
      <c r="N11" s="13" t="str">
        <f>IF(L11&lt;Model!$B$11,"Simple",IF(L11&gt;Model!$B$12,"Complex","Borderline"))</f>
        <v>Simple</v>
      </c>
      <c r="O11" s="18" t="s">
        <v>69</v>
      </c>
      <c r="P11" s="13">
        <f>IF(IF(L11&gt;Model!$B$10,"complex","simple")=O11,1,0)</f>
        <v>1</v>
      </c>
    </row>
    <row r="12" spans="1:16" ht="25.5" x14ac:dyDescent="0.25">
      <c r="A12" s="13" t="s">
        <v>92</v>
      </c>
      <c r="B12" s="14" t="s">
        <v>69</v>
      </c>
      <c r="C12" s="15" t="s">
        <v>93</v>
      </c>
      <c r="D12" s="13" t="s">
        <v>34</v>
      </c>
      <c r="E12" s="13" t="s">
        <v>87</v>
      </c>
      <c r="F12" s="15" t="s">
        <v>94</v>
      </c>
      <c r="G12" s="16">
        <v>5</v>
      </c>
      <c r="H12" s="16">
        <v>0</v>
      </c>
      <c r="I12" s="16">
        <v>1</v>
      </c>
      <c r="J12" s="16">
        <v>3.028</v>
      </c>
      <c r="K12" s="16">
        <v>1</v>
      </c>
      <c r="L12" s="17">
        <f>G12*Model!$B$5+H12*Model!$B$6+I12*Model!$B$7+J12*Model!$B$8+K12*Model!$B$9</f>
        <v>11.528</v>
      </c>
      <c r="M12" s="13" t="str">
        <f>IF(L12&gt;Model!$B$10,"RAG-Gym","RAG-Flow")</f>
        <v>RAG-Flow</v>
      </c>
      <c r="N12" s="13" t="str">
        <f>IF(L12&lt;Model!$B$11,"Simple",IF(L12&gt;Model!$B$12,"Complex","Borderline"))</f>
        <v>Simple</v>
      </c>
      <c r="O12" s="18" t="s">
        <v>69</v>
      </c>
      <c r="P12" s="13">
        <f>IF(IF(L12&gt;Model!$B$10,"complex","simple")=O12,1,0)</f>
        <v>1</v>
      </c>
    </row>
    <row r="13" spans="1:16" x14ac:dyDescent="0.25">
      <c r="A13" s="13" t="s">
        <v>95</v>
      </c>
      <c r="B13" s="14" t="s">
        <v>69</v>
      </c>
      <c r="C13" s="15" t="s">
        <v>96</v>
      </c>
      <c r="D13" s="13" t="s">
        <v>36</v>
      </c>
      <c r="E13" s="13" t="s">
        <v>87</v>
      </c>
      <c r="F13" s="15" t="s">
        <v>97</v>
      </c>
      <c r="G13" s="16">
        <v>4</v>
      </c>
      <c r="H13" s="16">
        <v>0</v>
      </c>
      <c r="I13" s="16">
        <v>1</v>
      </c>
      <c r="J13" s="16">
        <v>3.3220000000000001</v>
      </c>
      <c r="K13" s="16">
        <v>1</v>
      </c>
      <c r="L13" s="17">
        <f>G13*Model!$B$5+H13*Model!$B$6+I13*Model!$B$7+J13*Model!$B$8+K13*Model!$B$9</f>
        <v>10.821999999999999</v>
      </c>
      <c r="M13" s="13" t="str">
        <f>IF(L13&gt;Model!$B$10,"RAG-Gym","RAG-Flow")</f>
        <v>RAG-Flow</v>
      </c>
      <c r="N13" s="13" t="str">
        <f>IF(L13&lt;Model!$B$11,"Simple",IF(L13&gt;Model!$B$12,"Complex","Borderline"))</f>
        <v>Simple</v>
      </c>
      <c r="O13" s="18" t="s">
        <v>69</v>
      </c>
      <c r="P13" s="13">
        <f>IF(IF(L13&gt;Model!$B$10,"complex","simple")=O13,1,0)</f>
        <v>1</v>
      </c>
    </row>
    <row r="14" spans="1:16" x14ac:dyDescent="0.25">
      <c r="A14" s="13" t="s">
        <v>98</v>
      </c>
      <c r="B14" s="14" t="s">
        <v>69</v>
      </c>
      <c r="C14" s="15" t="s">
        <v>99</v>
      </c>
      <c r="D14" s="13" t="s">
        <v>34</v>
      </c>
      <c r="E14" s="13" t="s">
        <v>87</v>
      </c>
      <c r="F14" s="15" t="s">
        <v>100</v>
      </c>
      <c r="G14" s="16">
        <v>4</v>
      </c>
      <c r="H14" s="16">
        <v>0</v>
      </c>
      <c r="I14" s="16">
        <v>1</v>
      </c>
      <c r="J14" s="16">
        <v>3.0459999999999998</v>
      </c>
      <c r="K14" s="16">
        <v>1</v>
      </c>
      <c r="L14" s="17">
        <f>G14*Model!$B$5+H14*Model!$B$6+I14*Model!$B$7+J14*Model!$B$8+K14*Model!$B$9</f>
        <v>10.545999999999999</v>
      </c>
      <c r="M14" s="13" t="str">
        <f>IF(L14&gt;Model!$B$10,"RAG-Gym","RAG-Flow")</f>
        <v>RAG-Flow</v>
      </c>
      <c r="N14" s="13" t="str">
        <f>IF(L14&lt;Model!$B$11,"Simple",IF(L14&gt;Model!$B$12,"Complex","Borderline"))</f>
        <v>Simple</v>
      </c>
      <c r="O14" s="18" t="s">
        <v>69</v>
      </c>
      <c r="P14" s="13">
        <f>IF(IF(L14&gt;Model!$B$10,"complex","simple")=O14,1,0)</f>
        <v>1</v>
      </c>
    </row>
    <row r="15" spans="1:16" ht="25.5" x14ac:dyDescent="0.25">
      <c r="A15" s="13" t="s">
        <v>101</v>
      </c>
      <c r="B15" s="19" t="s">
        <v>102</v>
      </c>
      <c r="C15" s="15" t="s">
        <v>103</v>
      </c>
      <c r="D15" s="13" t="s">
        <v>34</v>
      </c>
      <c r="E15" s="13" t="s">
        <v>87</v>
      </c>
      <c r="F15" s="15" t="s">
        <v>104</v>
      </c>
      <c r="G15" s="16">
        <v>7</v>
      </c>
      <c r="H15" s="16">
        <v>0</v>
      </c>
      <c r="I15" s="16">
        <v>1</v>
      </c>
      <c r="J15" s="16">
        <v>2.7610000000000001</v>
      </c>
      <c r="K15" s="16">
        <v>3</v>
      </c>
      <c r="L15" s="17">
        <f>G15*Model!$B$5+H15*Model!$B$6+I15*Model!$B$7+J15*Model!$B$8+K15*Model!$B$9</f>
        <v>17.260999999999999</v>
      </c>
      <c r="M15" s="13" t="str">
        <f>IF(L15&gt;Model!$B$10,"RAG-Gym","RAG-Flow")</f>
        <v>RAG-Gym</v>
      </c>
      <c r="N15" s="13" t="str">
        <f>IF(L15&lt;Model!$B$11,"Simple",IF(L15&gt;Model!$B$12,"Complex","Borderline"))</f>
        <v>Borderline</v>
      </c>
      <c r="O15" s="18" t="s">
        <v>105</v>
      </c>
      <c r="P15" s="13">
        <f>IF(IF(L15&gt;Model!$B$10,"complex","simple")=O15,1,0)</f>
        <v>1</v>
      </c>
    </row>
    <row r="16" spans="1:16" ht="25.5" x14ac:dyDescent="0.25">
      <c r="A16" s="13" t="s">
        <v>106</v>
      </c>
      <c r="B16" s="19" t="s">
        <v>102</v>
      </c>
      <c r="C16" s="15" t="s">
        <v>107</v>
      </c>
      <c r="D16" s="13" t="s">
        <v>34</v>
      </c>
      <c r="E16" s="13" t="s">
        <v>87</v>
      </c>
      <c r="F16" s="15" t="s">
        <v>108</v>
      </c>
      <c r="G16" s="16">
        <v>7</v>
      </c>
      <c r="H16" s="16">
        <v>0</v>
      </c>
      <c r="I16" s="16">
        <v>1</v>
      </c>
      <c r="J16" s="16">
        <v>2.4129999999999998</v>
      </c>
      <c r="K16" s="16">
        <v>1</v>
      </c>
      <c r="L16" s="17">
        <f>G16*Model!$B$5+H16*Model!$B$6+I16*Model!$B$7+J16*Model!$B$8+K16*Model!$B$9</f>
        <v>12.913</v>
      </c>
      <c r="M16" s="13" t="str">
        <f>IF(L16&gt;Model!$B$10,"RAG-Gym","RAG-Flow")</f>
        <v>RAG-Flow</v>
      </c>
      <c r="N16" s="13" t="str">
        <f>IF(L16&lt;Model!$B$11,"Simple",IF(L16&gt;Model!$B$12,"Complex","Borderline"))</f>
        <v>Borderline</v>
      </c>
      <c r="O16" s="18" t="s">
        <v>105</v>
      </c>
      <c r="P16" s="13">
        <f>IF(IF(L16&gt;Model!$B$10,"complex","simple")=O16,1,0)</f>
        <v>0</v>
      </c>
    </row>
    <row r="17" spans="1:16" ht="25.5" x14ac:dyDescent="0.25">
      <c r="A17" s="13" t="s">
        <v>109</v>
      </c>
      <c r="B17" s="19" t="s">
        <v>102</v>
      </c>
      <c r="C17" s="15" t="s">
        <v>110</v>
      </c>
      <c r="D17" s="13" t="s">
        <v>36</v>
      </c>
      <c r="E17" s="13" t="s">
        <v>87</v>
      </c>
      <c r="F17" s="15" t="s">
        <v>111</v>
      </c>
      <c r="G17" s="16">
        <v>8</v>
      </c>
      <c r="H17" s="16">
        <v>1</v>
      </c>
      <c r="I17" s="16">
        <v>1</v>
      </c>
      <c r="J17" s="16">
        <v>3.3180000000000001</v>
      </c>
      <c r="K17" s="16">
        <v>1</v>
      </c>
      <c r="L17" s="17">
        <f>G17*Model!$B$5+H17*Model!$B$6+I17*Model!$B$7+J17*Model!$B$8+K17*Model!$B$9</f>
        <v>16.817999999999998</v>
      </c>
      <c r="M17" s="13" t="str">
        <f>IF(L17&gt;Model!$B$10,"RAG-Gym","RAG-Flow")</f>
        <v>RAG-Gym</v>
      </c>
      <c r="N17" s="13" t="str">
        <f>IF(L17&lt;Model!$B$11,"Simple",IF(L17&gt;Model!$B$12,"Complex","Borderline"))</f>
        <v>Borderline</v>
      </c>
      <c r="O17" s="18" t="s">
        <v>105</v>
      </c>
      <c r="P17" s="13">
        <f>IF(IF(L17&gt;Model!$B$10,"complex","simple")=O17,1,0)</f>
        <v>1</v>
      </c>
    </row>
    <row r="18" spans="1:16" ht="25.5" x14ac:dyDescent="0.25">
      <c r="A18" s="13" t="s">
        <v>112</v>
      </c>
      <c r="B18" s="19" t="s">
        <v>102</v>
      </c>
      <c r="C18" s="15" t="s">
        <v>113</v>
      </c>
      <c r="D18" s="13" t="s">
        <v>36</v>
      </c>
      <c r="E18" s="13" t="s">
        <v>87</v>
      </c>
      <c r="F18" s="15" t="s">
        <v>114</v>
      </c>
      <c r="G18" s="16">
        <v>7</v>
      </c>
      <c r="H18" s="16">
        <v>0</v>
      </c>
      <c r="I18" s="16">
        <v>1</v>
      </c>
      <c r="J18" s="16">
        <v>3.419</v>
      </c>
      <c r="K18" s="16">
        <v>1</v>
      </c>
      <c r="L18" s="17">
        <f>G18*Model!$B$5+H18*Model!$B$6+I18*Model!$B$7+J18*Model!$B$8+K18*Model!$B$9</f>
        <v>13.919</v>
      </c>
      <c r="M18" s="13" t="str">
        <f>IF(L18&gt;Model!$B$10,"RAG-Gym","RAG-Flow")</f>
        <v>RAG-Flow</v>
      </c>
      <c r="N18" s="13" t="str">
        <f>IF(L18&lt;Model!$B$11,"Simple",IF(L18&gt;Model!$B$12,"Complex","Borderline"))</f>
        <v>Borderline</v>
      </c>
      <c r="O18" s="18" t="s">
        <v>69</v>
      </c>
      <c r="P18" s="13">
        <f>IF(IF(L18&gt;Model!$B$10,"complex","simple")=O18,1,0)</f>
        <v>1</v>
      </c>
    </row>
    <row r="19" spans="1:16" ht="25.5" x14ac:dyDescent="0.25">
      <c r="A19" s="13" t="s">
        <v>115</v>
      </c>
      <c r="B19" s="19" t="s">
        <v>102</v>
      </c>
      <c r="C19" s="15" t="s">
        <v>116</v>
      </c>
      <c r="D19" s="13" t="s">
        <v>34</v>
      </c>
      <c r="E19" s="13" t="s">
        <v>87</v>
      </c>
      <c r="F19" s="15" t="s">
        <v>117</v>
      </c>
      <c r="G19" s="16">
        <v>7</v>
      </c>
      <c r="H19" s="16">
        <v>0</v>
      </c>
      <c r="I19" s="16">
        <v>1</v>
      </c>
      <c r="J19" s="16">
        <v>3.3929999999999998</v>
      </c>
      <c r="K19" s="16">
        <v>1</v>
      </c>
      <c r="L19" s="17">
        <f>G19*Model!$B$5+H19*Model!$B$6+I19*Model!$B$7+J19*Model!$B$8+K19*Model!$B$9</f>
        <v>13.893000000000001</v>
      </c>
      <c r="M19" s="13" t="str">
        <f>IF(L19&gt;Model!$B$10,"RAG-Gym","RAG-Flow")</f>
        <v>RAG-Flow</v>
      </c>
      <c r="N19" s="13" t="str">
        <f>IF(L19&lt;Model!$B$11,"Simple",IF(L19&gt;Model!$B$12,"Complex","Borderline"))</f>
        <v>Borderline</v>
      </c>
      <c r="O19" s="18" t="s">
        <v>105</v>
      </c>
      <c r="P19" s="13">
        <f>IF(IF(L19&gt;Model!$B$10,"complex","simple")=O19,1,0)</f>
        <v>0</v>
      </c>
    </row>
    <row r="20" spans="1:16" ht="25.5" x14ac:dyDescent="0.25">
      <c r="A20" s="13" t="s">
        <v>118</v>
      </c>
      <c r="B20" s="19" t="s">
        <v>102</v>
      </c>
      <c r="C20" s="15" t="s">
        <v>119</v>
      </c>
      <c r="D20" s="13" t="s">
        <v>36</v>
      </c>
      <c r="E20" s="13" t="s">
        <v>87</v>
      </c>
      <c r="F20" s="15" t="s">
        <v>120</v>
      </c>
      <c r="G20" s="16">
        <v>8</v>
      </c>
      <c r="H20" s="16">
        <v>0</v>
      </c>
      <c r="I20" s="16">
        <v>1</v>
      </c>
      <c r="J20" s="16">
        <v>3.2</v>
      </c>
      <c r="K20" s="16">
        <v>1</v>
      </c>
      <c r="L20" s="17">
        <f>G20*Model!$B$5+H20*Model!$B$6+I20*Model!$B$7+J20*Model!$B$8+K20*Model!$B$9</f>
        <v>14.7</v>
      </c>
      <c r="M20" s="13" t="str">
        <f>IF(L20&gt;Model!$B$10,"RAG-Gym","RAG-Flow")</f>
        <v>RAG-Flow</v>
      </c>
      <c r="N20" s="13" t="str">
        <f>IF(L20&lt;Model!$B$11,"Simple",IF(L20&gt;Model!$B$12,"Complex","Borderline"))</f>
        <v>Borderline</v>
      </c>
      <c r="O20" s="18" t="s">
        <v>105</v>
      </c>
      <c r="P20" s="13">
        <f>IF(IF(L20&gt;Model!$B$10,"complex","simple")=O20,1,0)</f>
        <v>0</v>
      </c>
    </row>
    <row r="21" spans="1:16" ht="25.5" x14ac:dyDescent="0.25">
      <c r="A21" s="13" t="s">
        <v>121</v>
      </c>
      <c r="B21" s="19" t="s">
        <v>102</v>
      </c>
      <c r="C21" s="15" t="s">
        <v>122</v>
      </c>
      <c r="D21" s="13" t="s">
        <v>36</v>
      </c>
      <c r="E21" s="13" t="s">
        <v>87</v>
      </c>
      <c r="F21" s="15" t="s">
        <v>123</v>
      </c>
      <c r="G21" s="16">
        <v>7</v>
      </c>
      <c r="H21" s="16">
        <v>0</v>
      </c>
      <c r="I21" s="16">
        <v>1</v>
      </c>
      <c r="J21" s="16">
        <v>3.157</v>
      </c>
      <c r="K21" s="16">
        <v>1</v>
      </c>
      <c r="L21" s="17">
        <f>G21*Model!$B$5+H21*Model!$B$6+I21*Model!$B$7+J21*Model!$B$8+K21*Model!$B$9</f>
        <v>13.657</v>
      </c>
      <c r="M21" s="13" t="str">
        <f>IF(L21&gt;Model!$B$10,"RAG-Gym","RAG-Flow")</f>
        <v>RAG-Flow</v>
      </c>
      <c r="N21" s="13" t="str">
        <f>IF(L21&lt;Model!$B$11,"Simple",IF(L21&gt;Model!$B$12,"Complex","Borderline"))</f>
        <v>Borderline</v>
      </c>
      <c r="O21" s="18" t="s">
        <v>69</v>
      </c>
      <c r="P21" s="13">
        <f>IF(IF(L21&gt;Model!$B$10,"complex","simple")=O21,1,0)</f>
        <v>1</v>
      </c>
    </row>
    <row r="22" spans="1:16" ht="25.5" x14ac:dyDescent="0.25">
      <c r="A22" s="13" t="s">
        <v>124</v>
      </c>
      <c r="B22" s="19" t="s">
        <v>102</v>
      </c>
      <c r="C22" s="15" t="s">
        <v>125</v>
      </c>
      <c r="D22" s="13" t="s">
        <v>36</v>
      </c>
      <c r="E22" s="13" t="s">
        <v>87</v>
      </c>
      <c r="F22" s="15" t="s">
        <v>126</v>
      </c>
      <c r="G22" s="16">
        <v>7</v>
      </c>
      <c r="H22" s="16">
        <v>0</v>
      </c>
      <c r="I22" s="16">
        <v>1</v>
      </c>
      <c r="J22" s="16">
        <v>3.46</v>
      </c>
      <c r="K22" s="16">
        <v>3</v>
      </c>
      <c r="L22" s="17">
        <f>G22*Model!$B$5+H22*Model!$B$6+I22*Model!$B$7+J22*Model!$B$8+K22*Model!$B$9</f>
        <v>17.96</v>
      </c>
      <c r="M22" s="13" t="str">
        <f>IF(L22&gt;Model!$B$10,"RAG-Gym","RAG-Flow")</f>
        <v>RAG-Gym</v>
      </c>
      <c r="N22" s="13" t="str">
        <f>IF(L22&lt;Model!$B$11,"Simple",IF(L22&gt;Model!$B$12,"Complex","Borderline"))</f>
        <v>Borderline</v>
      </c>
      <c r="O22" s="18" t="s">
        <v>105</v>
      </c>
      <c r="P22" s="13">
        <f>IF(IF(L22&gt;Model!$B$10,"complex","simple")=O22,1,0)</f>
        <v>1</v>
      </c>
    </row>
    <row r="23" spans="1:16" x14ac:dyDescent="0.25">
      <c r="A23" s="13" t="s">
        <v>127</v>
      </c>
      <c r="B23" s="19" t="s">
        <v>102</v>
      </c>
      <c r="C23" s="15" t="s">
        <v>128</v>
      </c>
      <c r="D23" s="13" t="s">
        <v>34</v>
      </c>
      <c r="E23" s="13" t="s">
        <v>87</v>
      </c>
      <c r="F23" s="15" t="s">
        <v>129</v>
      </c>
      <c r="G23" s="16">
        <v>6</v>
      </c>
      <c r="H23" s="16">
        <v>0</v>
      </c>
      <c r="I23" s="16">
        <v>1</v>
      </c>
      <c r="J23" s="16">
        <v>3.5409999999999999</v>
      </c>
      <c r="K23" s="16">
        <v>1</v>
      </c>
      <c r="L23" s="17">
        <f>G23*Model!$B$5+H23*Model!$B$6+I23*Model!$B$7+J23*Model!$B$8+K23*Model!$B$9</f>
        <v>13.041</v>
      </c>
      <c r="M23" s="13" t="str">
        <f>IF(L23&gt;Model!$B$10,"RAG-Gym","RAG-Flow")</f>
        <v>RAG-Flow</v>
      </c>
      <c r="N23" s="13" t="str">
        <f>IF(L23&lt;Model!$B$11,"Simple",IF(L23&gt;Model!$B$12,"Complex","Borderline"))</f>
        <v>Borderline</v>
      </c>
      <c r="O23" s="18" t="s">
        <v>69</v>
      </c>
      <c r="P23" s="13">
        <f>IF(IF(L23&gt;Model!$B$10,"complex","simple")=O23,1,0)</f>
        <v>1</v>
      </c>
    </row>
    <row r="24" spans="1:16" ht="25.5" x14ac:dyDescent="0.25">
      <c r="A24" s="13" t="s">
        <v>130</v>
      </c>
      <c r="B24" s="19" t="s">
        <v>102</v>
      </c>
      <c r="C24" s="15" t="s">
        <v>131</v>
      </c>
      <c r="D24" s="13" t="s">
        <v>34</v>
      </c>
      <c r="E24" s="13" t="s">
        <v>87</v>
      </c>
      <c r="F24" s="15" t="s">
        <v>132</v>
      </c>
      <c r="G24" s="16">
        <v>7</v>
      </c>
      <c r="H24" s="16">
        <v>0</v>
      </c>
      <c r="I24" s="16">
        <v>2</v>
      </c>
      <c r="J24" s="16">
        <v>2.9990000000000001</v>
      </c>
      <c r="K24" s="16">
        <v>1</v>
      </c>
      <c r="L24" s="17">
        <f>G24*Model!$B$5+H24*Model!$B$6+I24*Model!$B$7+J24*Model!$B$8+K24*Model!$B$9</f>
        <v>14.999000000000001</v>
      </c>
      <c r="M24" s="13" t="str">
        <f>IF(L24&gt;Model!$B$10,"RAG-Gym","RAG-Flow")</f>
        <v>RAG-Flow</v>
      </c>
      <c r="N24" s="13" t="str">
        <f>IF(L24&lt;Model!$B$11,"Simple",IF(L24&gt;Model!$B$12,"Complex","Borderline"))</f>
        <v>Borderline</v>
      </c>
      <c r="O24" s="18" t="s">
        <v>69</v>
      </c>
      <c r="P24" s="13">
        <f>IF(IF(L24&gt;Model!$B$10,"complex","simple")=O24,1,0)</f>
        <v>1</v>
      </c>
    </row>
    <row r="25" spans="1:16" ht="25.5" x14ac:dyDescent="0.25">
      <c r="A25" s="13" t="s">
        <v>133</v>
      </c>
      <c r="B25" s="20" t="s">
        <v>105</v>
      </c>
      <c r="C25" s="15" t="s">
        <v>134</v>
      </c>
      <c r="D25" s="13" t="s">
        <v>32</v>
      </c>
      <c r="E25" s="13" t="s">
        <v>71</v>
      </c>
      <c r="F25" s="15" t="s">
        <v>135</v>
      </c>
      <c r="G25" s="16">
        <v>8</v>
      </c>
      <c r="H25" s="16">
        <v>0</v>
      </c>
      <c r="I25" s="16">
        <v>2</v>
      </c>
      <c r="J25" s="16">
        <v>3.2389999999999999</v>
      </c>
      <c r="K25" s="16">
        <v>1</v>
      </c>
      <c r="L25" s="17">
        <f>G25*Model!$B$5+H25*Model!$B$6+I25*Model!$B$7+J25*Model!$B$8+K25*Model!$B$9</f>
        <v>16.239000000000001</v>
      </c>
      <c r="M25" s="13" t="str">
        <f>IF(L25&gt;Model!$B$10,"RAG-Gym","RAG-Flow")</f>
        <v>RAG-Gym</v>
      </c>
      <c r="N25" s="13" t="str">
        <f>IF(L25&lt;Model!$B$11,"Simple",IF(L25&gt;Model!$B$12,"Complex","Borderline"))</f>
        <v>Borderline</v>
      </c>
      <c r="O25" s="18" t="s">
        <v>105</v>
      </c>
      <c r="P25" s="13">
        <f>IF(IF(L25&gt;Model!$B$10,"complex","simple")=O25,1,0)</f>
        <v>1</v>
      </c>
    </row>
    <row r="26" spans="1:16" ht="25.5" x14ac:dyDescent="0.25">
      <c r="A26" s="13" t="s">
        <v>136</v>
      </c>
      <c r="B26" s="20" t="s">
        <v>105</v>
      </c>
      <c r="C26" s="15" t="s">
        <v>137</v>
      </c>
      <c r="D26" s="13" t="s">
        <v>32</v>
      </c>
      <c r="E26" s="13" t="s">
        <v>71</v>
      </c>
      <c r="F26" s="15" t="s">
        <v>138</v>
      </c>
      <c r="G26" s="16">
        <v>9</v>
      </c>
      <c r="H26" s="16">
        <v>1</v>
      </c>
      <c r="I26" s="16">
        <v>2</v>
      </c>
      <c r="J26" s="16">
        <v>3.5209999999999999</v>
      </c>
      <c r="K26" s="16">
        <v>1</v>
      </c>
      <c r="L26" s="17">
        <f>G26*Model!$B$5+H26*Model!$B$6+I26*Model!$B$7+J26*Model!$B$8+K26*Model!$B$9</f>
        <v>19.521000000000001</v>
      </c>
      <c r="M26" s="13" t="str">
        <f>IF(L26&gt;Model!$B$10,"RAG-Gym","RAG-Flow")</f>
        <v>RAG-Gym</v>
      </c>
      <c r="N26" s="13" t="str">
        <f>IF(L26&lt;Model!$B$11,"Simple",IF(L26&gt;Model!$B$12,"Complex","Borderline"))</f>
        <v>Complex</v>
      </c>
      <c r="O26" s="18" t="s">
        <v>105</v>
      </c>
      <c r="P26" s="13">
        <f>IF(IF(L26&gt;Model!$B$10,"complex","simple")=O26,1,0)</f>
        <v>1</v>
      </c>
    </row>
    <row r="27" spans="1:16" ht="38.25" x14ac:dyDescent="0.25">
      <c r="A27" s="13" t="s">
        <v>139</v>
      </c>
      <c r="B27" s="20" t="s">
        <v>105</v>
      </c>
      <c r="C27" s="15" t="s">
        <v>140</v>
      </c>
      <c r="D27" s="13" t="s">
        <v>32</v>
      </c>
      <c r="E27" s="13" t="s">
        <v>71</v>
      </c>
      <c r="F27" s="15" t="s">
        <v>141</v>
      </c>
      <c r="G27" s="16">
        <v>13</v>
      </c>
      <c r="H27" s="16">
        <v>2</v>
      </c>
      <c r="I27" s="16">
        <v>2</v>
      </c>
      <c r="J27" s="16">
        <v>2.923</v>
      </c>
      <c r="K27" s="16">
        <v>4</v>
      </c>
      <c r="L27" s="17">
        <f>G27*Model!$B$5+H27*Model!$B$6+I27*Model!$B$7+J27*Model!$B$8+K27*Model!$B$9</f>
        <v>30.923000000000002</v>
      </c>
      <c r="M27" s="13" t="str">
        <f>IF(L27&gt;Model!$B$10,"RAG-Gym","RAG-Flow")</f>
        <v>RAG-Gym</v>
      </c>
      <c r="N27" s="13" t="str">
        <f>IF(L27&lt;Model!$B$11,"Simple",IF(L27&gt;Model!$B$12,"Complex","Borderline"))</f>
        <v>Complex</v>
      </c>
      <c r="O27" s="18" t="s">
        <v>105</v>
      </c>
      <c r="P27" s="13">
        <f>IF(IF(L27&gt;Model!$B$10,"complex","simple")=O27,1,0)</f>
        <v>1</v>
      </c>
    </row>
    <row r="28" spans="1:16" ht="38.25" x14ac:dyDescent="0.25">
      <c r="A28" s="13" t="s">
        <v>142</v>
      </c>
      <c r="B28" s="20" t="s">
        <v>105</v>
      </c>
      <c r="C28" s="15" t="s">
        <v>143</v>
      </c>
      <c r="D28" s="13" t="s">
        <v>32</v>
      </c>
      <c r="E28" s="13" t="s">
        <v>71</v>
      </c>
      <c r="F28" s="15" t="s">
        <v>144</v>
      </c>
      <c r="G28" s="16">
        <v>12</v>
      </c>
      <c r="H28" s="16">
        <v>2</v>
      </c>
      <c r="I28" s="16">
        <v>2</v>
      </c>
      <c r="J28" s="16">
        <v>3.2719999999999998</v>
      </c>
      <c r="K28" s="16">
        <v>1</v>
      </c>
      <c r="L28" s="17">
        <f>G28*Model!$B$5+H28*Model!$B$6+I28*Model!$B$7+J28*Model!$B$8+K28*Model!$B$9</f>
        <v>24.271999999999998</v>
      </c>
      <c r="M28" s="13" t="str">
        <f>IF(L28&gt;Model!$B$10,"RAG-Gym","RAG-Flow")</f>
        <v>RAG-Gym</v>
      </c>
      <c r="N28" s="13" t="str">
        <f>IF(L28&lt;Model!$B$11,"Simple",IF(L28&gt;Model!$B$12,"Complex","Borderline"))</f>
        <v>Complex</v>
      </c>
      <c r="O28" s="18" t="s">
        <v>105</v>
      </c>
      <c r="P28" s="13">
        <f>IF(IF(L28&gt;Model!$B$10,"complex","simple")=O28,1,0)</f>
        <v>1</v>
      </c>
    </row>
    <row r="29" spans="1:16" ht="38.25" x14ac:dyDescent="0.25">
      <c r="A29" s="13" t="s">
        <v>145</v>
      </c>
      <c r="B29" s="20" t="s">
        <v>105</v>
      </c>
      <c r="C29" s="15" t="s">
        <v>146</v>
      </c>
      <c r="D29" s="13" t="s">
        <v>32</v>
      </c>
      <c r="E29" s="13" t="s">
        <v>71</v>
      </c>
      <c r="F29" s="15" t="s">
        <v>147</v>
      </c>
      <c r="G29" s="16">
        <v>13</v>
      </c>
      <c r="H29" s="16">
        <v>2</v>
      </c>
      <c r="I29" s="16">
        <v>2</v>
      </c>
      <c r="J29" s="16">
        <v>3.6749999999999998</v>
      </c>
      <c r="K29" s="16">
        <v>3</v>
      </c>
      <c r="L29" s="17">
        <f>G29*Model!$B$5+H29*Model!$B$6+I29*Model!$B$7+J29*Model!$B$8+K29*Model!$B$9</f>
        <v>29.675000000000001</v>
      </c>
      <c r="M29" s="13" t="str">
        <f>IF(L29&gt;Model!$B$10,"RAG-Gym","RAG-Flow")</f>
        <v>RAG-Gym</v>
      </c>
      <c r="N29" s="13" t="str">
        <f>IF(L29&lt;Model!$B$11,"Simple",IF(L29&gt;Model!$B$12,"Complex","Borderline"))</f>
        <v>Complex</v>
      </c>
      <c r="O29" s="18" t="s">
        <v>105</v>
      </c>
      <c r="P29" s="13">
        <f>IF(IF(L29&gt;Model!$B$10,"complex","simple")=O29,1,0)</f>
        <v>1</v>
      </c>
    </row>
    <row r="30" spans="1:16" ht="51" x14ac:dyDescent="0.25">
      <c r="A30" s="13" t="s">
        <v>148</v>
      </c>
      <c r="B30" s="20" t="s">
        <v>105</v>
      </c>
      <c r="C30" s="15" t="s">
        <v>149</v>
      </c>
      <c r="D30" s="13" t="s">
        <v>34</v>
      </c>
      <c r="E30" s="13" t="s">
        <v>87</v>
      </c>
      <c r="F30" s="15" t="s">
        <v>150</v>
      </c>
      <c r="G30" s="16">
        <v>20</v>
      </c>
      <c r="H30" s="16">
        <v>2</v>
      </c>
      <c r="I30" s="16">
        <v>2</v>
      </c>
      <c r="J30" s="16">
        <v>2.9790000000000001</v>
      </c>
      <c r="K30" s="16">
        <v>3</v>
      </c>
      <c r="L30" s="17">
        <f>G30*Model!$B$5+H30*Model!$B$6+I30*Model!$B$7+J30*Model!$B$8+K30*Model!$B$9</f>
        <v>35.978999999999999</v>
      </c>
      <c r="M30" s="13" t="str">
        <f>IF(L30&gt;Model!$B$10,"RAG-Gym","RAG-Flow")</f>
        <v>RAG-Gym</v>
      </c>
      <c r="N30" s="13" t="str">
        <f>IF(L30&lt;Model!$B$11,"Simple",IF(L30&gt;Model!$B$12,"Complex","Borderline"))</f>
        <v>Complex</v>
      </c>
      <c r="O30" s="18" t="s">
        <v>105</v>
      </c>
      <c r="P30" s="13">
        <f>IF(IF(L30&gt;Model!$B$10,"complex","simple")=O30,1,0)</f>
        <v>1</v>
      </c>
    </row>
    <row r="31" spans="1:16" ht="51" x14ac:dyDescent="0.25">
      <c r="A31" s="13" t="s">
        <v>151</v>
      </c>
      <c r="B31" s="20" t="s">
        <v>105</v>
      </c>
      <c r="C31" s="15" t="s">
        <v>152</v>
      </c>
      <c r="D31" s="13" t="s">
        <v>36</v>
      </c>
      <c r="E31" s="13" t="s">
        <v>87</v>
      </c>
      <c r="F31" s="15" t="s">
        <v>153</v>
      </c>
      <c r="G31" s="16">
        <v>17</v>
      </c>
      <c r="H31" s="16">
        <v>3</v>
      </c>
      <c r="I31" s="16">
        <v>2</v>
      </c>
      <c r="J31" s="16">
        <v>3.25</v>
      </c>
      <c r="K31" s="16">
        <v>3</v>
      </c>
      <c r="L31" s="17">
        <f>G31*Model!$B$5+H31*Model!$B$6+I31*Model!$B$7+J31*Model!$B$8+K31*Model!$B$9</f>
        <v>35.25</v>
      </c>
      <c r="M31" s="13" t="str">
        <f>IF(L31&gt;Model!$B$10,"RAG-Gym","RAG-Flow")</f>
        <v>RAG-Gym</v>
      </c>
      <c r="N31" s="13" t="str">
        <f>IF(L31&lt;Model!$B$11,"Simple",IF(L31&gt;Model!$B$12,"Complex","Borderline"))</f>
        <v>Complex</v>
      </c>
      <c r="O31" s="18" t="s">
        <v>105</v>
      </c>
      <c r="P31" s="13">
        <f>IF(IF(L31&gt;Model!$B$10,"complex","simple")=O31,1,0)</f>
        <v>1</v>
      </c>
    </row>
    <row r="32" spans="1:16" ht="51" x14ac:dyDescent="0.25">
      <c r="A32" s="13" t="s">
        <v>154</v>
      </c>
      <c r="B32" s="20" t="s">
        <v>105</v>
      </c>
      <c r="C32" s="15" t="s">
        <v>155</v>
      </c>
      <c r="D32" s="13" t="s">
        <v>36</v>
      </c>
      <c r="E32" s="13" t="s">
        <v>87</v>
      </c>
      <c r="F32" s="15" t="s">
        <v>156</v>
      </c>
      <c r="G32" s="16">
        <v>18</v>
      </c>
      <c r="H32" s="16">
        <v>2</v>
      </c>
      <c r="I32" s="16">
        <v>2</v>
      </c>
      <c r="J32" s="16">
        <v>3.2109999999999999</v>
      </c>
      <c r="K32" s="16">
        <v>4</v>
      </c>
      <c r="L32" s="17">
        <f>G32*Model!$B$5+H32*Model!$B$6+I32*Model!$B$7+J32*Model!$B$8+K32*Model!$B$9</f>
        <v>36.210999999999999</v>
      </c>
      <c r="M32" s="13" t="str">
        <f>IF(L32&gt;Model!$B$10,"RAG-Gym","RAG-Flow")</f>
        <v>RAG-Gym</v>
      </c>
      <c r="N32" s="13" t="str">
        <f>IF(L32&lt;Model!$B$11,"Simple",IF(L32&gt;Model!$B$12,"Complex","Borderline"))</f>
        <v>Complex</v>
      </c>
      <c r="O32" s="18" t="s">
        <v>105</v>
      </c>
      <c r="P32" s="13">
        <f>IF(IF(L32&gt;Model!$B$10,"complex","simple")=O32,1,0)</f>
        <v>1</v>
      </c>
    </row>
    <row r="33" spans="1:16" ht="51" x14ac:dyDescent="0.25">
      <c r="A33" s="13" t="s">
        <v>157</v>
      </c>
      <c r="B33" s="20" t="s">
        <v>105</v>
      </c>
      <c r="C33" s="15" t="s">
        <v>158</v>
      </c>
      <c r="D33" s="13" t="s">
        <v>34</v>
      </c>
      <c r="E33" s="13" t="s">
        <v>87</v>
      </c>
      <c r="F33" s="15" t="s">
        <v>159</v>
      </c>
      <c r="G33" s="16">
        <v>19</v>
      </c>
      <c r="H33" s="16">
        <v>4</v>
      </c>
      <c r="I33" s="16">
        <v>2</v>
      </c>
      <c r="J33" s="16">
        <v>2.9569999999999999</v>
      </c>
      <c r="K33" s="16">
        <v>4</v>
      </c>
      <c r="L33" s="17">
        <f>G33*Model!$B$5+H33*Model!$B$6+I33*Model!$B$7+J33*Model!$B$8+K33*Model!$B$9</f>
        <v>40.957000000000001</v>
      </c>
      <c r="M33" s="13" t="str">
        <f>IF(L33&gt;Model!$B$10,"RAG-Gym","RAG-Flow")</f>
        <v>RAG-Gym</v>
      </c>
      <c r="N33" s="13" t="str">
        <f>IF(L33&lt;Model!$B$11,"Simple",IF(L33&gt;Model!$B$12,"Complex","Borderline"))</f>
        <v>Complex</v>
      </c>
      <c r="O33" s="18" t="s">
        <v>105</v>
      </c>
      <c r="P33" s="13">
        <f>IF(IF(L33&gt;Model!$B$10,"complex","simple")=O33,1,0)</f>
        <v>1</v>
      </c>
    </row>
    <row r="34" spans="1:16" ht="51" x14ac:dyDescent="0.25">
      <c r="A34" s="13" t="s">
        <v>160</v>
      </c>
      <c r="B34" s="20" t="s">
        <v>105</v>
      </c>
      <c r="C34" s="15" t="s">
        <v>161</v>
      </c>
      <c r="D34" s="13" t="s">
        <v>36</v>
      </c>
      <c r="E34" s="13" t="s">
        <v>87</v>
      </c>
      <c r="F34" s="15" t="s">
        <v>162</v>
      </c>
      <c r="G34" s="16">
        <v>21</v>
      </c>
      <c r="H34" s="16">
        <v>2</v>
      </c>
      <c r="I34" s="16">
        <v>2</v>
      </c>
      <c r="J34" s="16">
        <v>3.5859999999999999</v>
      </c>
      <c r="K34" s="16">
        <v>3</v>
      </c>
      <c r="L34" s="17">
        <f>G34*Model!$B$5+H34*Model!$B$6+I34*Model!$B$7+J34*Model!$B$8+K34*Model!$B$9</f>
        <v>37.585999999999999</v>
      </c>
      <c r="M34" s="13" t="str">
        <f>IF(L34&gt;Model!$B$10,"RAG-Gym","RAG-Flow")</f>
        <v>RAG-Gym</v>
      </c>
      <c r="N34" s="13" t="str">
        <f>IF(L34&lt;Model!$B$11,"Simple",IF(L34&gt;Model!$B$12,"Complex","Borderline"))</f>
        <v>Complex</v>
      </c>
      <c r="O34" s="18" t="s">
        <v>105</v>
      </c>
      <c r="P34" s="13">
        <f>IF(IF(L34&gt;Model!$B$10,"complex","simple")=O34,1,0)</f>
        <v>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zoomScaleNormal="100" workbookViewId="0"/>
  </sheetViews>
  <sheetFormatPr defaultColWidth="8.7109375" defaultRowHeight="15" x14ac:dyDescent="0.25"/>
  <cols>
    <col min="1" max="1" width="13" customWidth="1"/>
    <col min="2" max="2" width="6" customWidth="1"/>
    <col min="3" max="3" width="14" customWidth="1"/>
    <col min="4" max="4" width="10" customWidth="1"/>
    <col min="5" max="5" width="52" customWidth="1"/>
  </cols>
  <sheetData>
    <row r="1" spans="1:5" ht="18" x14ac:dyDescent="0.25">
      <c r="A1" s="7" t="s">
        <v>163</v>
      </c>
    </row>
    <row r="2" spans="1:5" x14ac:dyDescent="0.25">
      <c r="A2" s="8" t="s">
        <v>164</v>
      </c>
    </row>
    <row r="4" spans="1:5" x14ac:dyDescent="0.25">
      <c r="A4" s="21" t="s">
        <v>165</v>
      </c>
      <c r="B4" s="21" t="s">
        <v>166</v>
      </c>
      <c r="C4" s="21" t="s">
        <v>167</v>
      </c>
      <c r="D4" s="21" t="s">
        <v>168</v>
      </c>
      <c r="E4" s="21" t="s">
        <v>169</v>
      </c>
    </row>
    <row r="5" spans="1:5" x14ac:dyDescent="0.25">
      <c r="A5" s="22" t="s">
        <v>170</v>
      </c>
      <c r="B5" s="23">
        <f>COUNTIF(Benchmark_30!$B$5:$B$34,"simple")</f>
        <v>10</v>
      </c>
      <c r="C5" s="23">
        <f>SUMIFS(Benchmark_30!$P$5:$P$34,Benchmark_30!$B$5:$B$34,"simple")</f>
        <v>10</v>
      </c>
      <c r="D5" s="24">
        <f>C5/B5</f>
        <v>1</v>
      </c>
      <c r="E5" s="25" t="s">
        <v>171</v>
      </c>
    </row>
    <row r="6" spans="1:5" x14ac:dyDescent="0.25">
      <c r="A6" s="22" t="s">
        <v>172</v>
      </c>
      <c r="B6" s="23">
        <f>COUNTIF(Benchmark_30!$B$5:$B$34,"borderline")</f>
        <v>10</v>
      </c>
      <c r="C6" s="23">
        <f>SUMIFS(Benchmark_30!$P$5:$P$34,Benchmark_30!$B$5:$B$34,"borderline")</f>
        <v>7</v>
      </c>
      <c r="D6" s="24">
        <f>C6/B6</f>
        <v>0.7</v>
      </c>
      <c r="E6" s="25" t="s">
        <v>173</v>
      </c>
    </row>
    <row r="7" spans="1:5" x14ac:dyDescent="0.25">
      <c r="A7" s="22" t="s">
        <v>174</v>
      </c>
      <c r="B7" s="23">
        <f>COUNTIF(Benchmark_30!$B$5:$B$34,"complex")</f>
        <v>10</v>
      </c>
      <c r="C7" s="23">
        <f>SUMIFS(Benchmark_30!$P$5:$P$34,Benchmark_30!$B$5:$B$34,"complex")</f>
        <v>10</v>
      </c>
      <c r="D7" s="24">
        <f>C7/B7</f>
        <v>1</v>
      </c>
      <c r="E7" s="25" t="s">
        <v>175</v>
      </c>
    </row>
    <row r="8" spans="1:5" x14ac:dyDescent="0.25">
      <c r="A8" s="26" t="s">
        <v>176</v>
      </c>
      <c r="B8" s="26">
        <f>SUM(B5:B7)</f>
        <v>30</v>
      </c>
      <c r="C8" s="26">
        <f>SUM(C5:C7)</f>
        <v>27</v>
      </c>
      <c r="D8" s="27">
        <f>C8/B8</f>
        <v>0.9</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topLeftCell="A6" zoomScaleNormal="100" workbookViewId="0">
      <selection activeCell="A22" sqref="A22"/>
    </sheetView>
  </sheetViews>
  <sheetFormatPr defaultColWidth="8.7109375" defaultRowHeight="15" x14ac:dyDescent="0.25"/>
  <cols>
    <col min="1" max="1" width="69.42578125" customWidth="1"/>
    <col min="2" max="2" width="40" customWidth="1"/>
    <col min="3" max="3" width="8" customWidth="1"/>
  </cols>
  <sheetData>
    <row r="1" spans="1:3" ht="18" x14ac:dyDescent="0.25">
      <c r="A1" s="7" t="s">
        <v>177</v>
      </c>
    </row>
    <row r="2" spans="1:3" x14ac:dyDescent="0.25">
      <c r="A2" s="8" t="s">
        <v>178</v>
      </c>
    </row>
    <row r="4" spans="1:3" x14ac:dyDescent="0.25">
      <c r="A4" s="21" t="s">
        <v>179</v>
      </c>
      <c r="B4" s="21" t="s">
        <v>180</v>
      </c>
      <c r="C4" s="21" t="s">
        <v>181</v>
      </c>
    </row>
    <row r="5" spans="1:3" x14ac:dyDescent="0.25">
      <c r="A5" s="28" t="s">
        <v>74</v>
      </c>
      <c r="B5" s="15" t="s">
        <v>73</v>
      </c>
      <c r="C5" s="13">
        <v>1</v>
      </c>
    </row>
    <row r="6" spans="1:3" x14ac:dyDescent="0.25">
      <c r="A6" s="28" t="s">
        <v>182</v>
      </c>
      <c r="B6" s="15" t="s">
        <v>136</v>
      </c>
      <c r="C6" s="13">
        <v>1</v>
      </c>
    </row>
    <row r="7" spans="1:3" x14ac:dyDescent="0.25">
      <c r="A7" s="28" t="s">
        <v>183</v>
      </c>
      <c r="B7" s="15" t="s">
        <v>184</v>
      </c>
      <c r="C7" s="13">
        <v>7</v>
      </c>
    </row>
    <row r="8" spans="1:3" x14ac:dyDescent="0.25">
      <c r="A8" s="28" t="s">
        <v>185</v>
      </c>
      <c r="B8" s="15" t="s">
        <v>186</v>
      </c>
      <c r="C8" s="13">
        <v>5</v>
      </c>
    </row>
    <row r="9" spans="1:3" x14ac:dyDescent="0.25">
      <c r="A9" s="28" t="s">
        <v>187</v>
      </c>
      <c r="B9" s="15" t="s">
        <v>188</v>
      </c>
      <c r="C9" s="13">
        <v>3</v>
      </c>
    </row>
    <row r="10" spans="1:3" x14ac:dyDescent="0.25">
      <c r="A10" s="28" t="s">
        <v>189</v>
      </c>
      <c r="B10" s="15" t="s">
        <v>145</v>
      </c>
      <c r="C10" s="13">
        <v>1</v>
      </c>
    </row>
    <row r="11" spans="1:3" x14ac:dyDescent="0.25">
      <c r="A11" s="28" t="s">
        <v>190</v>
      </c>
      <c r="B11" s="15" t="s">
        <v>191</v>
      </c>
      <c r="C11" s="13">
        <v>8</v>
      </c>
    </row>
    <row r="12" spans="1:3" x14ac:dyDescent="0.25">
      <c r="A12" s="28" t="s">
        <v>192</v>
      </c>
      <c r="B12" s="15" t="s">
        <v>193</v>
      </c>
      <c r="C12" s="13">
        <v>4</v>
      </c>
    </row>
    <row r="13" spans="1:3" x14ac:dyDescent="0.25">
      <c r="A13" s="29" t="s">
        <v>194</v>
      </c>
      <c r="C13" s="29">
        <f>SUM(C5:C12)</f>
        <v>30</v>
      </c>
    </row>
    <row r="15" spans="1:3" x14ac:dyDescent="0.25">
      <c r="A15" s="5" t="s">
        <v>195</v>
      </c>
    </row>
    <row r="16" spans="1:3" x14ac:dyDescent="0.25">
      <c r="A16" s="28" t="s">
        <v>196</v>
      </c>
      <c r="B16" s="13">
        <v>10</v>
      </c>
    </row>
    <row r="17" spans="1:2" x14ac:dyDescent="0.25">
      <c r="A17" s="28" t="s">
        <v>197</v>
      </c>
      <c r="B17" s="13">
        <v>9</v>
      </c>
    </row>
    <row r="18" spans="1:2" x14ac:dyDescent="0.25">
      <c r="A18" s="28" t="s">
        <v>198</v>
      </c>
      <c r="B18" s="13">
        <v>11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Model</vt:lpstr>
      <vt:lpstr>Benchmark_30</vt:lpstr>
      <vt:lpstr>Routing_Accuracy</vt:lpstr>
      <vt:lpstr>Clause_Coverage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Ashan Kudabalage</cp:lastModifiedBy>
  <cp:revision>0</cp:revision>
  <dcterms:created xsi:type="dcterms:W3CDTF">2026-06-21T09:37:00Z</dcterms:created>
  <dcterms:modified xsi:type="dcterms:W3CDTF">2026-07-18T07:15:37Z</dcterms:modified>
  <dc:language>en-US</dc:language>
</cp:coreProperties>
</file>